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ón de cultivos" sheetId="1" r:id="rId5"/>
  </sheets>
  <definedNames/>
  <calcPr/>
</workbook>
</file>

<file path=xl/sharedStrings.xml><?xml version="1.0" encoding="utf-8"?>
<sst xmlns="http://schemas.openxmlformats.org/spreadsheetml/2006/main" count="162" uniqueCount="89">
  <si>
    <t>Cultivo</t>
  </si>
  <si>
    <t>Rendimiento (Kg/m2)</t>
  </si>
  <si>
    <t>Rend / bancal</t>
  </si>
  <si>
    <t>Líneas por cama</t>
  </si>
  <si>
    <t>Distancia entre plantas (cm)</t>
  </si>
  <si>
    <t>N° plantas x bancal de m:</t>
  </si>
  <si>
    <t>plantas/m2</t>
  </si>
  <si>
    <t>|</t>
  </si>
  <si>
    <t>Semanas de almaciguera</t>
  </si>
  <si>
    <t>Dias en cama a cosecha</t>
  </si>
  <si>
    <t>Semanas a cosecha</t>
  </si>
  <si>
    <t>Dias en cosecha</t>
  </si>
  <si>
    <t>Semanas de cosecha</t>
  </si>
  <si>
    <t>Días total en cama</t>
  </si>
  <si>
    <t>Semanas en cama</t>
  </si>
  <si>
    <t>Maximo OI</t>
  </si>
  <si>
    <t>Minimo PV</t>
  </si>
  <si>
    <t>Maximo</t>
  </si>
  <si>
    <t>Minimo</t>
  </si>
  <si>
    <t xml:space="preserve">Maximo </t>
  </si>
  <si>
    <t>HORTALIZAS</t>
  </si>
  <si>
    <t>$/u Chacra</t>
  </si>
  <si>
    <t>u</t>
  </si>
  <si>
    <t>Acelga</t>
  </si>
  <si>
    <t>kg</t>
  </si>
  <si>
    <t>Ajo</t>
  </si>
  <si>
    <t>Aji picante</t>
  </si>
  <si>
    <t>x4u</t>
  </si>
  <si>
    <t>Hakusai</t>
  </si>
  <si>
    <t>Albahaca</t>
  </si>
  <si>
    <t>Ajo de verdeo</t>
  </si>
  <si>
    <t>atado</t>
  </si>
  <si>
    <t>Apio</t>
  </si>
  <si>
    <t>Berenjena</t>
  </si>
  <si>
    <t>Alcaucil</t>
  </si>
  <si>
    <t>Brócoli</t>
  </si>
  <si>
    <t>Cebolla</t>
  </si>
  <si>
    <t>Apionabo</t>
  </si>
  <si>
    <t>Choclo</t>
  </si>
  <si>
    <t>Arveja</t>
  </si>
  <si>
    <t>Coliflor</t>
  </si>
  <si>
    <t>Espinaca</t>
  </si>
  <si>
    <t>Habas</t>
  </si>
  <si>
    <t>Brotes</t>
  </si>
  <si>
    <t>Kale</t>
  </si>
  <si>
    <t>Khol Rabi</t>
  </si>
  <si>
    <t>Cebolla verdeo</t>
  </si>
  <si>
    <t>Lechuga</t>
  </si>
  <si>
    <t>Cebolla blanca</t>
  </si>
  <si>
    <t>Mix de hojas</t>
  </si>
  <si>
    <t>Chalota de verdeo</t>
  </si>
  <si>
    <t>at x 300g</t>
  </si>
  <si>
    <t>Hakurei</t>
  </si>
  <si>
    <t>Chaucha</t>
  </si>
  <si>
    <t>Perejil</t>
  </si>
  <si>
    <t>Chirivía</t>
  </si>
  <si>
    <t>Pimiento</t>
  </si>
  <si>
    <t>Cherry</t>
  </si>
  <si>
    <t>Puerro</t>
  </si>
  <si>
    <t>Ciboulette</t>
  </si>
  <si>
    <t>Rabanito</t>
  </si>
  <si>
    <t>Cilantro</t>
  </si>
  <si>
    <t>at</t>
  </si>
  <si>
    <t>Remolacha</t>
  </si>
  <si>
    <t>Repollo</t>
  </si>
  <si>
    <t>Eneldo</t>
  </si>
  <si>
    <t>Rúcula</t>
  </si>
  <si>
    <t>Tomate</t>
  </si>
  <si>
    <t>Verdeo</t>
  </si>
  <si>
    <t>Zanahoria</t>
  </si>
  <si>
    <t>Hinojo</t>
  </si>
  <si>
    <t>Zapallito</t>
  </si>
  <si>
    <t>Zapallo</t>
  </si>
  <si>
    <t>Zucchini</t>
  </si>
  <si>
    <t>Mix de lechugas</t>
  </si>
  <si>
    <t>Mizuna</t>
  </si>
  <si>
    <t>Nabo Colinabo</t>
  </si>
  <si>
    <t>Nabo Daicon</t>
  </si>
  <si>
    <t>Nabo Cuello Violeta</t>
  </si>
  <si>
    <t>Nabo Daikon</t>
  </si>
  <si>
    <t>Pan de azucar</t>
  </si>
  <si>
    <t>Pack choi</t>
  </si>
  <si>
    <t>Papa</t>
  </si>
  <si>
    <t>Papa Andina</t>
  </si>
  <si>
    <t>Papin</t>
  </si>
  <si>
    <t>Pepinillo</t>
  </si>
  <si>
    <t>Pepino</t>
  </si>
  <si>
    <t>Radicchio</t>
  </si>
  <si>
    <t>Repollo col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</si>
</sst>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[$ $]#,##0"/>
  </numFmts>
  <fonts count="8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/>
    <font>
      <sz val="11.0"/>
      <color rgb="FF000000"/>
      <name val="Arial"/>
    </font>
    <font>
      <b/>
      <sz val="17.0"/>
      <color theme="1"/>
      <name val="Arial"/>
    </font>
    <font>
      <i/>
      <sz val="11.0"/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8BC34A"/>
        <bgColor rgb="FF8BC34A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6AA84F"/>
        <bgColor rgb="FF6AA84F"/>
      </patternFill>
    </fill>
    <fill>
      <patternFill patternType="solid">
        <fgColor rgb="FFEEF7E3"/>
        <bgColor rgb="FFEEF7E3"/>
      </patternFill>
    </fill>
  </fills>
  <borders count="20">
    <border/>
    <border>
      <left style="thin">
        <color rgb="FF000000"/>
      </left>
      <right/>
      <top style="thin">
        <color rgb="FF000000"/>
      </top>
    </border>
    <border>
      <top style="thin">
        <color rgb="FF000000"/>
      </top>
    </border>
    <border>
      <left/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hair">
        <color rgb="FF000000"/>
      </left>
      <bottom style="hair">
        <color rgb="FF000000"/>
      </bottom>
    </border>
    <border>
      <left style="hair">
        <color rgb="FF000000"/>
      </left>
      <top/>
      <bottom style="hair">
        <color rgb="FF000000"/>
      </bottom>
    </border>
    <border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top style="dotted">
        <color rgb="FF000000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2" fontId="2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3" fillId="2" fontId="1" numFmtId="1" xfId="0" applyAlignment="1" applyBorder="1" applyFont="1" applyNumberForma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5" fillId="2" fontId="3" numFmtId="0" xfId="0" applyBorder="1" applyFont="1"/>
    <xf borderId="2" fillId="2" fontId="1" numFmtId="0" xfId="0" applyAlignment="1" applyBorder="1" applyFont="1">
      <alignment horizontal="center" readingOrder="0" shrinkToFit="0" vertical="center" wrapText="1"/>
    </xf>
    <xf borderId="6" fillId="2" fontId="1" numFmtId="0" xfId="0" applyAlignment="1" applyBorder="1" applyFont="1">
      <alignment horizontal="center" shrinkToFit="0" vertical="center" wrapText="0"/>
    </xf>
    <xf borderId="2" fillId="2" fontId="1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7" fillId="0" fontId="4" numFmtId="0" xfId="0" applyAlignment="1" applyBorder="1" applyFont="1">
      <alignment horizontal="center" shrinkToFit="0" vertical="center" wrapText="0"/>
    </xf>
    <xf borderId="8" fillId="3" fontId="3" numFmtId="0" xfId="0" applyBorder="1" applyFont="1"/>
    <xf borderId="9" fillId="3" fontId="3" numFmtId="0" xfId="0" applyBorder="1" applyFont="1"/>
    <xf borderId="9" fillId="3" fontId="2" numFmtId="0" xfId="0" applyAlignment="1" applyBorder="1" applyFont="1">
      <alignment horizontal="center" readingOrder="0" shrinkToFit="0" vertical="center" wrapText="1"/>
    </xf>
    <xf borderId="10" fillId="3" fontId="3" numFmtId="0" xfId="0" applyBorder="1" applyFont="1"/>
    <xf borderId="11" fillId="4" fontId="5" numFmtId="1" xfId="0" applyAlignment="1" applyBorder="1" applyFill="1" applyFont="1" applyNumberFormat="1">
      <alignment horizontal="center" readingOrder="0" shrinkToFit="0" vertical="center" wrapText="1"/>
    </xf>
    <xf borderId="12" fillId="5" fontId="6" numFmtId="0" xfId="0" applyAlignment="1" applyBorder="1" applyFill="1" applyFont="1">
      <alignment horizontal="center" shrinkToFit="0" vertical="center" wrapText="0"/>
    </xf>
    <xf borderId="13" fillId="5" fontId="6" numFmtId="0" xfId="0" applyAlignment="1" applyBorder="1" applyFont="1">
      <alignment horizontal="center" shrinkToFit="0" vertical="center" wrapText="0"/>
    </xf>
    <xf borderId="9" fillId="3" fontId="7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vertical="center"/>
    </xf>
    <xf borderId="15" fillId="6" fontId="2" numFmtId="0" xfId="0" applyAlignment="1" applyBorder="1" applyFill="1" applyFont="1">
      <alignment horizontal="center" shrinkToFit="0" vertical="center" wrapText="0"/>
    </xf>
    <xf borderId="0" fillId="6" fontId="2" numFmtId="0" xfId="0" applyAlignment="1" applyFont="1">
      <alignment horizontal="center" shrinkToFit="0" vertical="center" wrapText="0"/>
    </xf>
    <xf borderId="0" fillId="6" fontId="2" numFmtId="0" xfId="0" applyAlignment="1" applyFont="1">
      <alignment horizontal="center" readingOrder="0" shrinkToFit="0" vertical="center" wrapText="0"/>
    </xf>
    <xf borderId="0" fillId="6" fontId="2" numFmtId="1" xfId="0" applyAlignment="1" applyFont="1" applyNumberFormat="1">
      <alignment horizontal="center" shrinkToFit="0" vertical="center" wrapText="0"/>
    </xf>
    <xf borderId="0" fillId="6" fontId="2" numFmtId="164" xfId="0" applyAlignment="1" applyFont="1" applyNumberFormat="1">
      <alignment horizontal="center" shrinkToFit="0" vertical="center" wrapText="0"/>
    </xf>
    <xf borderId="0" fillId="6" fontId="1" numFmtId="3" xfId="0" applyAlignment="1" applyFont="1" applyNumberFormat="1">
      <alignment horizontal="center" shrinkToFit="0" vertical="center" wrapText="0"/>
    </xf>
    <xf borderId="0" fillId="3" fontId="2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0" fontId="4" numFmtId="3" xfId="0" applyAlignment="1" applyFont="1" applyNumberForma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16" fillId="3" fontId="2" numFmtId="0" xfId="0" applyAlignment="1" applyBorder="1" applyFont="1">
      <alignment horizontal="center" shrinkToFit="0" vertical="center" wrapText="0"/>
    </xf>
    <xf borderId="0" fillId="3" fontId="2" numFmtId="1" xfId="0" applyAlignment="1" applyFont="1" applyNumberFormat="1">
      <alignment horizontal="center" shrinkToFit="0" vertical="center" wrapText="0"/>
    </xf>
    <xf borderId="0" fillId="3" fontId="2" numFmtId="164" xfId="0" applyAlignment="1" applyFont="1" applyNumberFormat="1">
      <alignment horizontal="center" shrinkToFit="0" vertical="center" wrapText="0"/>
    </xf>
    <xf borderId="0" fillId="3" fontId="1" numFmtId="3" xfId="0" applyAlignment="1" applyFont="1" applyNumberFormat="1">
      <alignment horizontal="center" readingOrder="0" shrinkToFit="0" vertical="center" wrapText="0"/>
    </xf>
    <xf borderId="0" fillId="3" fontId="1" numFmtId="3" xfId="0" applyAlignment="1" applyFont="1" applyNumberFormat="1">
      <alignment horizontal="center" shrinkToFit="0" vertical="center" wrapText="0"/>
    </xf>
    <xf borderId="16" fillId="6" fontId="2" numFmtId="0" xfId="0" applyAlignment="1" applyBorder="1" applyFont="1">
      <alignment horizontal="center" readingOrder="0" shrinkToFit="0" vertical="center" wrapText="0"/>
    </xf>
    <xf borderId="0" fillId="6" fontId="7" numFmtId="0" xfId="0" applyAlignment="1" applyFont="1">
      <alignment horizontal="center" readingOrder="0" vertical="center"/>
    </xf>
    <xf borderId="16" fillId="6" fontId="2" numFmtId="0" xfId="0" applyAlignment="1" applyBorder="1" applyFont="1">
      <alignment horizontal="center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3" fontId="2" numFmtId="1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165" xfId="0" applyAlignment="1" applyFont="1" applyNumberFormat="1">
      <alignment horizontal="center" readingOrder="0" shrinkToFit="0" vertical="center" wrapText="0"/>
    </xf>
    <xf borderId="0" fillId="0" fontId="4" numFmtId="3" xfId="0" applyAlignment="1" applyFont="1" applyNumberFormat="1">
      <alignment horizontal="center" readingOrder="0" shrinkToFit="0" vertical="center" wrapText="0"/>
    </xf>
    <xf borderId="17" fillId="6" fontId="2" numFmtId="0" xfId="0" applyAlignment="1" applyBorder="1" applyFont="1">
      <alignment horizontal="center" shrinkToFit="0" vertical="center" wrapText="0"/>
    </xf>
    <xf borderId="0" fillId="6" fontId="1" numFmtId="3" xfId="0" applyAlignment="1" applyFont="1" applyNumberFormat="1">
      <alignment horizontal="center" readingOrder="0" shrinkToFit="0" vertical="center" wrapText="0"/>
    </xf>
    <xf borderId="0" fillId="6" fontId="1" numFmtId="4" xfId="0" applyAlignment="1" applyFont="1" applyNumberFormat="1">
      <alignment horizontal="center" shrinkToFit="0" vertical="center" wrapText="0"/>
    </xf>
    <xf borderId="18" fillId="3" fontId="2" numFmtId="0" xfId="0" applyAlignment="1" applyBorder="1" applyFont="1">
      <alignment horizontal="center" readingOrder="0" shrinkToFit="0" vertical="center" wrapText="0"/>
    </xf>
    <xf borderId="18" fillId="6" fontId="2" numFmtId="0" xfId="0" applyAlignment="1" applyBorder="1" applyFont="1">
      <alignment horizontal="center" readingOrder="0" shrinkToFit="0" vertical="center" wrapText="0"/>
    </xf>
    <xf borderId="18" fillId="3" fontId="2" numFmtId="0" xfId="0" applyAlignment="1" applyBorder="1" applyFont="1">
      <alignment horizontal="center" shrinkToFit="0" vertical="center" wrapText="0"/>
    </xf>
    <xf borderId="18" fillId="6" fontId="2" numFmtId="0" xfId="0" applyAlignment="1" applyBorder="1" applyFont="1">
      <alignment horizontal="center" readingOrder="0"/>
    </xf>
    <xf borderId="16" fillId="3" fontId="2" numFmtId="0" xfId="0" applyAlignment="1" applyBorder="1" applyFont="1">
      <alignment horizontal="center" readingOrder="0" shrinkToFit="0" vertical="center" wrapText="0"/>
    </xf>
    <xf borderId="0" fillId="6" fontId="7" numFmtId="0" xfId="0" applyAlignment="1" applyFont="1">
      <alignment horizontal="center" vertical="center"/>
    </xf>
    <xf borderId="18" fillId="6" fontId="2" numFmtId="0" xfId="0" applyAlignment="1" applyBorder="1" applyFont="1">
      <alignment horizontal="center" shrinkToFit="0" vertical="center" wrapText="0"/>
    </xf>
    <xf borderId="0" fillId="3" fontId="7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165" xfId="0" applyAlignment="1" applyFont="1" applyNumberFormat="1">
      <alignment horizontal="center" readingOrder="0" vertical="center"/>
    </xf>
    <xf borderId="0" fillId="0" fontId="7" numFmtId="3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7" numFmtId="165" xfId="0" applyAlignment="1" applyFont="1" applyNumberFormat="1">
      <alignment horizontal="center" vertical="center"/>
    </xf>
    <xf borderId="0" fillId="0" fontId="7" numFmtId="3" xfId="0" applyAlignment="1" applyFont="1" applyNumberFormat="1">
      <alignment horizontal="center" vertical="center"/>
    </xf>
    <xf borderId="19" fillId="3" fontId="7" numFmtId="0" xfId="0" applyBorder="1" applyFont="1"/>
    <xf borderId="0" fillId="3" fontId="7" numFmtId="0" xfId="0" applyFont="1"/>
    <xf borderId="0" fillId="0" fontId="7" numFmtId="0" xfId="0" applyAlignment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Información de cultiv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T2:V61" displayName="Table_1" name="Table_1" id="1">
  <tableColumns count="3">
    <tableColumn name="HORTALIZAS" id="1"/>
    <tableColumn name="$/u Chacra" id="2"/>
    <tableColumn name="u" id="3"/>
  </tableColumns>
  <tableStyleInfo name="Información de cultiv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0.13"/>
    <col customWidth="1" min="2" max="3" width="9.75"/>
    <col customWidth="1" min="4" max="33" width="12.63"/>
  </cols>
  <sheetData>
    <row r="1" ht="42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7"/>
      <c r="J1" s="8" t="s">
        <v>8</v>
      </c>
      <c r="K1" s="9" t="s">
        <v>9</v>
      </c>
      <c r="L1" s="7"/>
      <c r="M1" s="8" t="s">
        <v>10</v>
      </c>
      <c r="N1" s="9" t="s">
        <v>11</v>
      </c>
      <c r="O1" s="7"/>
      <c r="P1" s="10" t="s">
        <v>12</v>
      </c>
      <c r="Q1" s="8" t="s">
        <v>13</v>
      </c>
      <c r="R1" s="8" t="s">
        <v>14</v>
      </c>
      <c r="S1" s="11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3"/>
    </row>
    <row r="2" ht="28.5" customHeight="1">
      <c r="A2" s="14"/>
      <c r="B2" s="15"/>
      <c r="C2" s="16">
        <v>30.0</v>
      </c>
      <c r="D2" s="17"/>
      <c r="E2" s="17"/>
      <c r="F2" s="18">
        <v>30.0</v>
      </c>
      <c r="G2" s="17"/>
      <c r="H2" s="19" t="s">
        <v>15</v>
      </c>
      <c r="I2" s="20" t="s">
        <v>16</v>
      </c>
      <c r="J2" s="15"/>
      <c r="K2" s="19" t="s">
        <v>17</v>
      </c>
      <c r="L2" s="20" t="s">
        <v>18</v>
      </c>
      <c r="M2" s="15"/>
      <c r="N2" s="19" t="s">
        <v>19</v>
      </c>
      <c r="O2" s="20" t="s">
        <v>18</v>
      </c>
      <c r="P2" s="15"/>
      <c r="Q2" s="15"/>
      <c r="R2" s="15"/>
      <c r="S2" s="21"/>
      <c r="T2" s="22" t="s">
        <v>20</v>
      </c>
      <c r="U2" s="22" t="s">
        <v>21</v>
      </c>
      <c r="V2" s="22" t="s">
        <v>22</v>
      </c>
      <c r="W2" s="23"/>
      <c r="X2" s="23"/>
      <c r="Y2" s="23"/>
      <c r="Z2" s="23"/>
      <c r="AA2" s="23"/>
      <c r="AB2" s="23"/>
      <c r="AC2" s="23"/>
      <c r="AD2" s="23"/>
      <c r="AE2" s="23"/>
      <c r="AF2" s="23"/>
      <c r="AG2" s="24"/>
    </row>
    <row r="3" ht="19.5" customHeight="1">
      <c r="A3" s="25" t="s">
        <v>23</v>
      </c>
      <c r="B3" s="26">
        <v>5.5</v>
      </c>
      <c r="C3" s="26">
        <f t="shared" ref="C3:C32" si="1">B3*$C$2</f>
        <v>165</v>
      </c>
      <c r="D3" s="26">
        <v>3.0</v>
      </c>
      <c r="E3" s="27">
        <v>40.0</v>
      </c>
      <c r="F3" s="28">
        <f t="shared" ref="F3:F32" si="2">$F$2/(E3/100)*D3</f>
        <v>225</v>
      </c>
      <c r="G3" s="29">
        <f t="shared" ref="G3:G32" si="3">F3/$F$2</f>
        <v>7.5</v>
      </c>
      <c r="H3" s="26">
        <v>40.0</v>
      </c>
      <c r="I3" s="26">
        <v>30.0</v>
      </c>
      <c r="J3" s="30">
        <f>AVERAGE(H3:I3)/7</f>
        <v>5</v>
      </c>
      <c r="K3" s="26">
        <v>60.0</v>
      </c>
      <c r="L3" s="26">
        <v>45.0</v>
      </c>
      <c r="M3" s="30">
        <f t="shared" ref="M3:M32" si="4">AVERAGE(K3:L3)/7</f>
        <v>7.5</v>
      </c>
      <c r="N3" s="26">
        <v>200.0</v>
      </c>
      <c r="O3" s="26">
        <v>80.0</v>
      </c>
      <c r="P3" s="30">
        <f t="shared" ref="P3:P19" si="5">N3/7</f>
        <v>28.57142857</v>
      </c>
      <c r="Q3" s="26">
        <f t="shared" ref="Q3:Q17" si="6">K3+N3</f>
        <v>260</v>
      </c>
      <c r="R3" s="30">
        <f t="shared" ref="R3:R5" si="7">+J3+M3</f>
        <v>12.5</v>
      </c>
      <c r="S3" s="31"/>
      <c r="T3" s="32" t="s">
        <v>23</v>
      </c>
      <c r="U3" s="33">
        <v>3000.0</v>
      </c>
      <c r="V3" s="34" t="s">
        <v>24</v>
      </c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</row>
    <row r="4" ht="19.5" customHeight="1">
      <c r="A4" s="36" t="s">
        <v>25</v>
      </c>
      <c r="B4" s="31">
        <f>6*4*0.1</f>
        <v>2.4</v>
      </c>
      <c r="C4" s="31">
        <f t="shared" si="1"/>
        <v>72</v>
      </c>
      <c r="D4" s="31">
        <v>4.0</v>
      </c>
      <c r="E4" s="31">
        <v>15.0</v>
      </c>
      <c r="F4" s="37">
        <f t="shared" si="2"/>
        <v>800</v>
      </c>
      <c r="G4" s="38">
        <f t="shared" si="3"/>
        <v>26.66666667</v>
      </c>
      <c r="H4" s="31"/>
      <c r="I4" s="31"/>
      <c r="J4" s="39">
        <v>0.0</v>
      </c>
      <c r="K4" s="31">
        <v>270.0</v>
      </c>
      <c r="L4" s="31"/>
      <c r="M4" s="40">
        <f t="shared" si="4"/>
        <v>38.57142857</v>
      </c>
      <c r="N4" s="31">
        <v>1.0</v>
      </c>
      <c r="O4" s="31"/>
      <c r="P4" s="40">
        <f t="shared" si="5"/>
        <v>0.1428571429</v>
      </c>
      <c r="Q4" s="31">
        <f t="shared" si="6"/>
        <v>271</v>
      </c>
      <c r="R4" s="40">
        <f t="shared" si="7"/>
        <v>38.57142857</v>
      </c>
      <c r="S4" s="31"/>
      <c r="T4" s="32" t="s">
        <v>26</v>
      </c>
      <c r="U4" s="33">
        <v>3500.0</v>
      </c>
      <c r="V4" s="34" t="s">
        <v>27</v>
      </c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</row>
    <row r="5" ht="19.5" customHeight="1">
      <c r="A5" s="41" t="s">
        <v>28</v>
      </c>
      <c r="B5" s="42">
        <v>6.0</v>
      </c>
      <c r="C5" s="26">
        <f t="shared" si="1"/>
        <v>180</v>
      </c>
      <c r="D5" s="26">
        <v>3.0</v>
      </c>
      <c r="E5" s="26">
        <v>40.0</v>
      </c>
      <c r="F5" s="28">
        <f t="shared" si="2"/>
        <v>225</v>
      </c>
      <c r="G5" s="29">
        <f t="shared" si="3"/>
        <v>7.5</v>
      </c>
      <c r="H5" s="26">
        <v>45.0</v>
      </c>
      <c r="I5" s="26">
        <v>30.0</v>
      </c>
      <c r="J5" s="30">
        <f t="shared" ref="J5:J13" si="8">AVERAGE(H5:I5)/7</f>
        <v>5.357142857</v>
      </c>
      <c r="K5" s="26">
        <v>120.0</v>
      </c>
      <c r="L5" s="26">
        <v>90.0</v>
      </c>
      <c r="M5" s="30">
        <f t="shared" si="4"/>
        <v>15</v>
      </c>
      <c r="N5" s="26">
        <v>30.0</v>
      </c>
      <c r="O5" s="26">
        <v>1.0</v>
      </c>
      <c r="P5" s="30">
        <f t="shared" si="5"/>
        <v>4.285714286</v>
      </c>
      <c r="Q5" s="26">
        <f t="shared" si="6"/>
        <v>150</v>
      </c>
      <c r="R5" s="30">
        <f t="shared" si="7"/>
        <v>20.35714286</v>
      </c>
      <c r="S5" s="31"/>
      <c r="T5" s="32" t="s">
        <v>25</v>
      </c>
      <c r="U5" s="33">
        <v>16000.0</v>
      </c>
      <c r="V5" s="34" t="s">
        <v>24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</row>
    <row r="6" ht="19.5" customHeight="1">
      <c r="A6" s="36" t="s">
        <v>29</v>
      </c>
      <c r="B6" s="31">
        <v>3.0</v>
      </c>
      <c r="C6" s="31">
        <f t="shared" si="1"/>
        <v>90</v>
      </c>
      <c r="D6" s="31">
        <v>4.0</v>
      </c>
      <c r="E6" s="31">
        <v>25.0</v>
      </c>
      <c r="F6" s="37">
        <f t="shared" si="2"/>
        <v>480</v>
      </c>
      <c r="G6" s="38">
        <f t="shared" si="3"/>
        <v>16</v>
      </c>
      <c r="H6" s="31">
        <v>50.0</v>
      </c>
      <c r="I6" s="31">
        <v>30.0</v>
      </c>
      <c r="J6" s="40">
        <f t="shared" si="8"/>
        <v>5.714285714</v>
      </c>
      <c r="K6" s="31">
        <v>80.0</v>
      </c>
      <c r="L6" s="31">
        <v>70.0</v>
      </c>
      <c r="M6" s="40">
        <f t="shared" si="4"/>
        <v>10.71428571</v>
      </c>
      <c r="N6" s="31">
        <v>90.0</v>
      </c>
      <c r="O6" s="31">
        <v>60.0</v>
      </c>
      <c r="P6" s="40">
        <f t="shared" si="5"/>
        <v>12.85714286</v>
      </c>
      <c r="Q6" s="31">
        <f t="shared" si="6"/>
        <v>170</v>
      </c>
      <c r="R6" s="40">
        <f>+P6+M6</f>
        <v>23.57142857</v>
      </c>
      <c r="S6" s="31"/>
      <c r="T6" s="32" t="s">
        <v>30</v>
      </c>
      <c r="U6" s="33">
        <v>3500.0</v>
      </c>
      <c r="V6" s="34" t="s">
        <v>31</v>
      </c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</row>
    <row r="7" ht="19.5" customHeight="1">
      <c r="A7" s="43" t="s">
        <v>32</v>
      </c>
      <c r="B7" s="27">
        <v>4.0</v>
      </c>
      <c r="C7" s="26">
        <f t="shared" si="1"/>
        <v>120</v>
      </c>
      <c r="D7" s="26">
        <v>4.0</v>
      </c>
      <c r="E7" s="26">
        <v>30.0</v>
      </c>
      <c r="F7" s="28">
        <f t="shared" si="2"/>
        <v>400</v>
      </c>
      <c r="G7" s="29">
        <f t="shared" si="3"/>
        <v>13.33333333</v>
      </c>
      <c r="H7" s="26">
        <v>60.0</v>
      </c>
      <c r="I7" s="26">
        <v>45.0</v>
      </c>
      <c r="J7" s="30">
        <f t="shared" si="8"/>
        <v>7.5</v>
      </c>
      <c r="K7" s="26">
        <v>120.0</v>
      </c>
      <c r="L7" s="26">
        <v>90.0</v>
      </c>
      <c r="M7" s="30">
        <f t="shared" si="4"/>
        <v>15</v>
      </c>
      <c r="N7" s="26">
        <v>21.0</v>
      </c>
      <c r="O7" s="26">
        <v>1.0</v>
      </c>
      <c r="P7" s="30">
        <f t="shared" si="5"/>
        <v>3</v>
      </c>
      <c r="Q7" s="26">
        <f t="shared" si="6"/>
        <v>141</v>
      </c>
      <c r="R7" s="30">
        <f>+J7+M7</f>
        <v>22.5</v>
      </c>
      <c r="S7" s="31"/>
      <c r="T7" s="32" t="s">
        <v>29</v>
      </c>
      <c r="U7" s="33">
        <v>16000.0</v>
      </c>
      <c r="V7" s="34" t="s">
        <v>24</v>
      </c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</row>
    <row r="8" ht="19.5" customHeight="1">
      <c r="A8" s="36" t="s">
        <v>33</v>
      </c>
      <c r="B8" s="44">
        <v>3.0</v>
      </c>
      <c r="C8" s="31">
        <f t="shared" si="1"/>
        <v>90</v>
      </c>
      <c r="D8" s="31">
        <v>2.0</v>
      </c>
      <c r="E8" s="31">
        <v>40.0</v>
      </c>
      <c r="F8" s="37">
        <f t="shared" si="2"/>
        <v>150</v>
      </c>
      <c r="G8" s="38">
        <f t="shared" si="3"/>
        <v>5</v>
      </c>
      <c r="H8" s="31">
        <v>30.0</v>
      </c>
      <c r="I8" s="31">
        <v>21.0</v>
      </c>
      <c r="J8" s="40">
        <f t="shared" si="8"/>
        <v>3.642857143</v>
      </c>
      <c r="K8" s="31">
        <v>100.0</v>
      </c>
      <c r="L8" s="31">
        <v>70.0</v>
      </c>
      <c r="M8" s="40">
        <f t="shared" si="4"/>
        <v>12.14285714</v>
      </c>
      <c r="N8" s="31">
        <v>60.0</v>
      </c>
      <c r="O8" s="31">
        <v>30.0</v>
      </c>
      <c r="P8" s="40">
        <f t="shared" si="5"/>
        <v>8.571428571</v>
      </c>
      <c r="Q8" s="31">
        <f t="shared" si="6"/>
        <v>160</v>
      </c>
      <c r="R8" s="40">
        <f t="shared" ref="R8:R10" si="9">+M8+P8</f>
        <v>20.71428571</v>
      </c>
      <c r="S8" s="31"/>
      <c r="T8" s="32" t="s">
        <v>34</v>
      </c>
      <c r="U8" s="33">
        <v>4581.154305393819</v>
      </c>
      <c r="V8" s="34" t="s">
        <v>24</v>
      </c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</row>
    <row r="9" ht="19.5" customHeight="1">
      <c r="A9" s="43" t="s">
        <v>35</v>
      </c>
      <c r="B9" s="27">
        <v>4.0</v>
      </c>
      <c r="C9" s="26">
        <f t="shared" si="1"/>
        <v>120</v>
      </c>
      <c r="D9" s="26">
        <v>3.0</v>
      </c>
      <c r="E9" s="27">
        <v>50.0</v>
      </c>
      <c r="F9" s="28">
        <f t="shared" si="2"/>
        <v>180</v>
      </c>
      <c r="G9" s="29">
        <f t="shared" si="3"/>
        <v>6</v>
      </c>
      <c r="H9" s="26">
        <v>40.0</v>
      </c>
      <c r="I9" s="26">
        <v>30.0</v>
      </c>
      <c r="J9" s="30">
        <f t="shared" si="8"/>
        <v>5</v>
      </c>
      <c r="K9" s="26">
        <v>100.0</v>
      </c>
      <c r="L9" s="26">
        <v>80.0</v>
      </c>
      <c r="M9" s="30">
        <f t="shared" si="4"/>
        <v>12.85714286</v>
      </c>
      <c r="N9" s="26">
        <v>14.0</v>
      </c>
      <c r="O9" s="26">
        <v>1.0</v>
      </c>
      <c r="P9" s="30">
        <f t="shared" si="5"/>
        <v>2</v>
      </c>
      <c r="Q9" s="26">
        <f t="shared" si="6"/>
        <v>114</v>
      </c>
      <c r="R9" s="30">
        <f t="shared" si="9"/>
        <v>14.85714286</v>
      </c>
      <c r="S9" s="31"/>
      <c r="T9" s="32" t="s">
        <v>32</v>
      </c>
      <c r="U9" s="33">
        <v>2000.0</v>
      </c>
      <c r="V9" s="34" t="s">
        <v>24</v>
      </c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</row>
    <row r="10" ht="19.5" customHeight="1">
      <c r="A10" s="36" t="s">
        <v>36</v>
      </c>
      <c r="B10" s="44">
        <v>4.0</v>
      </c>
      <c r="C10" s="31">
        <f t="shared" si="1"/>
        <v>120</v>
      </c>
      <c r="D10" s="31">
        <v>4.0</v>
      </c>
      <c r="E10" s="44">
        <v>10.0</v>
      </c>
      <c r="F10" s="37">
        <f t="shared" si="2"/>
        <v>1200</v>
      </c>
      <c r="G10" s="38">
        <f t="shared" si="3"/>
        <v>40</v>
      </c>
      <c r="H10" s="31">
        <v>80.0</v>
      </c>
      <c r="I10" s="31">
        <v>70.0</v>
      </c>
      <c r="J10" s="40">
        <f t="shared" si="8"/>
        <v>10.71428571</v>
      </c>
      <c r="K10" s="31">
        <v>140.0</v>
      </c>
      <c r="L10" s="31">
        <v>120.0</v>
      </c>
      <c r="M10" s="40">
        <f t="shared" si="4"/>
        <v>18.57142857</v>
      </c>
      <c r="N10" s="31">
        <v>30.0</v>
      </c>
      <c r="O10" s="31">
        <v>1.0</v>
      </c>
      <c r="P10" s="40">
        <f t="shared" si="5"/>
        <v>4.285714286</v>
      </c>
      <c r="Q10" s="31">
        <f t="shared" si="6"/>
        <v>170</v>
      </c>
      <c r="R10" s="40">
        <f t="shared" si="9"/>
        <v>22.85714286</v>
      </c>
      <c r="S10" s="31"/>
      <c r="T10" s="32" t="s">
        <v>37</v>
      </c>
      <c r="U10" s="33">
        <v>3764.5137553018785</v>
      </c>
      <c r="V10" s="34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</row>
    <row r="11" ht="19.5" customHeight="1">
      <c r="A11" s="43" t="s">
        <v>38</v>
      </c>
      <c r="B11" s="27">
        <v>2.5</v>
      </c>
      <c r="C11" s="26">
        <f t="shared" si="1"/>
        <v>75</v>
      </c>
      <c r="D11" s="27">
        <v>2.0</v>
      </c>
      <c r="E11" s="26">
        <v>25.0</v>
      </c>
      <c r="F11" s="28">
        <f t="shared" si="2"/>
        <v>240</v>
      </c>
      <c r="G11" s="29">
        <f t="shared" si="3"/>
        <v>8</v>
      </c>
      <c r="H11" s="26">
        <v>40.0</v>
      </c>
      <c r="I11" s="26">
        <v>30.0</v>
      </c>
      <c r="J11" s="30">
        <f t="shared" si="8"/>
        <v>5</v>
      </c>
      <c r="K11" s="26">
        <v>120.0</v>
      </c>
      <c r="L11" s="26">
        <v>100.0</v>
      </c>
      <c r="M11" s="30">
        <f t="shared" si="4"/>
        <v>15.71428571</v>
      </c>
      <c r="N11" s="26">
        <v>30.0</v>
      </c>
      <c r="O11" s="26">
        <v>1.0</v>
      </c>
      <c r="P11" s="30">
        <f t="shared" si="5"/>
        <v>4.285714286</v>
      </c>
      <c r="Q11" s="26">
        <f t="shared" si="6"/>
        <v>150</v>
      </c>
      <c r="R11" s="30">
        <f t="shared" ref="R11:R12" si="10">+J11+M11</f>
        <v>20.71428571</v>
      </c>
      <c r="S11" s="31"/>
      <c r="T11" s="32" t="s">
        <v>39</v>
      </c>
      <c r="U11" s="33">
        <v>4428.423695865097</v>
      </c>
      <c r="V11" s="34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</row>
    <row r="12" ht="19.5" customHeight="1">
      <c r="A12" s="36" t="s">
        <v>40</v>
      </c>
      <c r="B12" s="45">
        <v>3.0</v>
      </c>
      <c r="C12" s="31">
        <f t="shared" si="1"/>
        <v>90</v>
      </c>
      <c r="D12" s="31">
        <v>3.0</v>
      </c>
      <c r="E12" s="44">
        <v>50.0</v>
      </c>
      <c r="F12" s="37">
        <f t="shared" si="2"/>
        <v>180</v>
      </c>
      <c r="G12" s="38">
        <f t="shared" si="3"/>
        <v>6</v>
      </c>
      <c r="H12" s="31">
        <v>40.0</v>
      </c>
      <c r="I12" s="31">
        <v>30.0</v>
      </c>
      <c r="J12" s="40">
        <f t="shared" si="8"/>
        <v>5</v>
      </c>
      <c r="K12" s="31">
        <v>120.0</v>
      </c>
      <c r="L12" s="31">
        <v>90.0</v>
      </c>
      <c r="M12" s="40">
        <f t="shared" si="4"/>
        <v>15</v>
      </c>
      <c r="N12" s="31">
        <v>14.0</v>
      </c>
      <c r="O12" s="31">
        <v>1.0</v>
      </c>
      <c r="P12" s="40">
        <f t="shared" si="5"/>
        <v>2</v>
      </c>
      <c r="Q12" s="31">
        <f t="shared" si="6"/>
        <v>134</v>
      </c>
      <c r="R12" s="40">
        <f t="shared" si="10"/>
        <v>20</v>
      </c>
      <c r="S12" s="31"/>
      <c r="T12" s="32" t="s">
        <v>33</v>
      </c>
      <c r="U12" s="33">
        <v>5500.0</v>
      </c>
      <c r="V12" s="34" t="s">
        <v>24</v>
      </c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</row>
    <row r="13" ht="19.5" customHeight="1">
      <c r="A13" s="43" t="s">
        <v>41</v>
      </c>
      <c r="B13" s="27">
        <v>3.0</v>
      </c>
      <c r="C13" s="26">
        <f t="shared" si="1"/>
        <v>90</v>
      </c>
      <c r="D13" s="26">
        <v>5.0</v>
      </c>
      <c r="E13" s="27">
        <v>20.0</v>
      </c>
      <c r="F13" s="28">
        <f t="shared" si="2"/>
        <v>750</v>
      </c>
      <c r="G13" s="29">
        <f t="shared" si="3"/>
        <v>25</v>
      </c>
      <c r="H13" s="27">
        <v>30.0</v>
      </c>
      <c r="I13" s="27">
        <v>21.0</v>
      </c>
      <c r="J13" s="30">
        <f t="shared" si="8"/>
        <v>3.642857143</v>
      </c>
      <c r="K13" s="26">
        <v>70.0</v>
      </c>
      <c r="L13" s="26">
        <v>60.0</v>
      </c>
      <c r="M13" s="30">
        <f t="shared" si="4"/>
        <v>9.285714286</v>
      </c>
      <c r="N13" s="26">
        <v>14.0</v>
      </c>
      <c r="O13" s="26">
        <v>1.0</v>
      </c>
      <c r="P13" s="30">
        <f t="shared" si="5"/>
        <v>2</v>
      </c>
      <c r="Q13" s="26">
        <f t="shared" si="6"/>
        <v>84</v>
      </c>
      <c r="R13" s="30">
        <f>(N13/7)+M13</f>
        <v>11.28571429</v>
      </c>
      <c r="S13" s="31"/>
      <c r="T13" s="46" t="s">
        <v>35</v>
      </c>
      <c r="U13" s="47">
        <v>5000.0</v>
      </c>
      <c r="V13" s="48" t="s">
        <v>24</v>
      </c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</row>
    <row r="14" ht="19.5" customHeight="1">
      <c r="A14" s="36" t="s">
        <v>42</v>
      </c>
      <c r="B14" s="44">
        <v>2.5</v>
      </c>
      <c r="C14" s="31">
        <f t="shared" si="1"/>
        <v>75</v>
      </c>
      <c r="D14" s="31">
        <v>1.0</v>
      </c>
      <c r="E14" s="44">
        <v>15.0</v>
      </c>
      <c r="F14" s="37">
        <f t="shared" si="2"/>
        <v>200</v>
      </c>
      <c r="G14" s="38">
        <f t="shared" si="3"/>
        <v>6.666666667</v>
      </c>
      <c r="H14" s="31"/>
      <c r="I14" s="31"/>
      <c r="J14" s="39">
        <v>0.0</v>
      </c>
      <c r="K14" s="31">
        <v>90.0</v>
      </c>
      <c r="L14" s="44">
        <v>80.0</v>
      </c>
      <c r="M14" s="40">
        <f t="shared" si="4"/>
        <v>12.14285714</v>
      </c>
      <c r="N14" s="31">
        <v>21.0</v>
      </c>
      <c r="O14" s="31">
        <v>14.0</v>
      </c>
      <c r="P14" s="40">
        <f t="shared" si="5"/>
        <v>3</v>
      </c>
      <c r="Q14" s="31">
        <f t="shared" si="6"/>
        <v>111</v>
      </c>
      <c r="R14" s="40">
        <f t="shared" ref="R14:R19" si="11">+J14+M14</f>
        <v>12.14285714</v>
      </c>
      <c r="S14" s="31"/>
      <c r="T14" s="32" t="s">
        <v>43</v>
      </c>
      <c r="U14" s="33">
        <v>2881.1078607243703</v>
      </c>
      <c r="V14" s="34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</row>
    <row r="15" ht="19.5" customHeight="1">
      <c r="A15" s="43" t="s">
        <v>44</v>
      </c>
      <c r="B15" s="27">
        <v>5.0</v>
      </c>
      <c r="C15" s="26">
        <f t="shared" si="1"/>
        <v>150</v>
      </c>
      <c r="D15" s="26">
        <v>3.0</v>
      </c>
      <c r="E15" s="27">
        <v>40.0</v>
      </c>
      <c r="F15" s="28">
        <f t="shared" si="2"/>
        <v>225</v>
      </c>
      <c r="G15" s="29">
        <f t="shared" si="3"/>
        <v>7.5</v>
      </c>
      <c r="H15" s="26">
        <v>40.0</v>
      </c>
      <c r="I15" s="26">
        <v>30.0</v>
      </c>
      <c r="J15" s="30">
        <f t="shared" ref="J15:J22" si="12">AVERAGE(H15:I15)/7</f>
        <v>5</v>
      </c>
      <c r="K15" s="26">
        <v>55.0</v>
      </c>
      <c r="L15" s="26">
        <v>45.0</v>
      </c>
      <c r="M15" s="30">
        <f t="shared" si="4"/>
        <v>7.142857143</v>
      </c>
      <c r="N15" s="26">
        <v>180.0</v>
      </c>
      <c r="O15" s="26">
        <v>120.0</v>
      </c>
      <c r="P15" s="30">
        <f t="shared" si="5"/>
        <v>25.71428571</v>
      </c>
      <c r="Q15" s="26">
        <f t="shared" si="6"/>
        <v>235</v>
      </c>
      <c r="R15" s="30">
        <f t="shared" si="11"/>
        <v>12.14285714</v>
      </c>
      <c r="S15" s="31"/>
      <c r="T15" s="46" t="s">
        <v>36</v>
      </c>
      <c r="U15" s="33">
        <v>3000.0</v>
      </c>
      <c r="V15" s="34" t="s">
        <v>24</v>
      </c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</row>
    <row r="16" ht="19.5" customHeight="1">
      <c r="A16" s="36" t="s">
        <v>45</v>
      </c>
      <c r="B16" s="31"/>
      <c r="C16" s="31">
        <f t="shared" si="1"/>
        <v>0</v>
      </c>
      <c r="D16" s="31">
        <v>4.0</v>
      </c>
      <c r="E16" s="31">
        <v>20.0</v>
      </c>
      <c r="F16" s="37">
        <f t="shared" si="2"/>
        <v>600</v>
      </c>
      <c r="G16" s="38">
        <f t="shared" si="3"/>
        <v>20</v>
      </c>
      <c r="H16" s="31">
        <v>40.0</v>
      </c>
      <c r="I16" s="31">
        <v>30.0</v>
      </c>
      <c r="J16" s="40">
        <f t="shared" si="12"/>
        <v>5</v>
      </c>
      <c r="K16" s="31">
        <v>80.0</v>
      </c>
      <c r="L16" s="31">
        <v>60.0</v>
      </c>
      <c r="M16" s="40">
        <f t="shared" si="4"/>
        <v>10</v>
      </c>
      <c r="N16" s="31">
        <v>21.0</v>
      </c>
      <c r="O16" s="31">
        <v>1.0</v>
      </c>
      <c r="P16" s="40">
        <f t="shared" si="5"/>
        <v>3</v>
      </c>
      <c r="Q16" s="31">
        <f t="shared" si="6"/>
        <v>101</v>
      </c>
      <c r="R16" s="40">
        <f t="shared" si="11"/>
        <v>15</v>
      </c>
      <c r="S16" s="31"/>
      <c r="T16" s="32" t="s">
        <v>46</v>
      </c>
      <c r="U16" s="33">
        <v>5300.0</v>
      </c>
      <c r="V16" s="34" t="s">
        <v>24</v>
      </c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</row>
    <row r="17" ht="19.5" customHeight="1">
      <c r="A17" s="43" t="s">
        <v>47</v>
      </c>
      <c r="B17" s="27">
        <f>12*0.4</f>
        <v>4.8</v>
      </c>
      <c r="C17" s="26">
        <f t="shared" si="1"/>
        <v>144</v>
      </c>
      <c r="D17" s="26">
        <v>4.0</v>
      </c>
      <c r="E17" s="27">
        <v>30.0</v>
      </c>
      <c r="F17" s="28">
        <f t="shared" si="2"/>
        <v>400</v>
      </c>
      <c r="G17" s="29">
        <f t="shared" si="3"/>
        <v>13.33333333</v>
      </c>
      <c r="H17" s="26">
        <v>45.0</v>
      </c>
      <c r="I17" s="26">
        <v>30.0</v>
      </c>
      <c r="J17" s="30">
        <f t="shared" si="12"/>
        <v>5.357142857</v>
      </c>
      <c r="K17" s="26">
        <v>60.0</v>
      </c>
      <c r="L17" s="26">
        <v>55.0</v>
      </c>
      <c r="M17" s="30">
        <f t="shared" si="4"/>
        <v>8.214285714</v>
      </c>
      <c r="N17" s="26">
        <v>14.0</v>
      </c>
      <c r="O17" s="26">
        <v>1.0</v>
      </c>
      <c r="P17" s="30">
        <f t="shared" si="5"/>
        <v>2</v>
      </c>
      <c r="Q17" s="26">
        <f t="shared" si="6"/>
        <v>74</v>
      </c>
      <c r="R17" s="30">
        <f t="shared" si="11"/>
        <v>13.57142857</v>
      </c>
      <c r="S17" s="31"/>
      <c r="T17" s="32" t="s">
        <v>48</v>
      </c>
      <c r="U17" s="33">
        <v>2500.0</v>
      </c>
      <c r="V17" s="34" t="s">
        <v>24</v>
      </c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</row>
    <row r="18" ht="19.5" customHeight="1">
      <c r="A18" s="36" t="s">
        <v>49</v>
      </c>
      <c r="B18" s="44">
        <v>3.0</v>
      </c>
      <c r="C18" s="31">
        <f t="shared" si="1"/>
        <v>90</v>
      </c>
      <c r="D18" s="31">
        <v>5.0</v>
      </c>
      <c r="E18" s="44">
        <v>5.0</v>
      </c>
      <c r="F18" s="37">
        <f t="shared" si="2"/>
        <v>3000</v>
      </c>
      <c r="G18" s="38">
        <f t="shared" si="3"/>
        <v>100</v>
      </c>
      <c r="H18" s="31">
        <v>45.0</v>
      </c>
      <c r="I18" s="31">
        <v>30.0</v>
      </c>
      <c r="J18" s="40">
        <f t="shared" si="12"/>
        <v>5.357142857</v>
      </c>
      <c r="K18" s="31">
        <v>60.0</v>
      </c>
      <c r="L18" s="31">
        <v>45.0</v>
      </c>
      <c r="M18" s="40">
        <f t="shared" si="4"/>
        <v>7.5</v>
      </c>
      <c r="N18" s="31">
        <v>14.0</v>
      </c>
      <c r="O18" s="31">
        <v>1.0</v>
      </c>
      <c r="P18" s="40">
        <f t="shared" si="5"/>
        <v>2</v>
      </c>
      <c r="Q18" s="31">
        <f>AVERAGE(K18:L18)+AVERAGE(N18)</f>
        <v>66.5</v>
      </c>
      <c r="R18" s="40">
        <f t="shared" si="11"/>
        <v>12.85714286</v>
      </c>
      <c r="S18" s="31"/>
      <c r="T18" s="32" t="s">
        <v>50</v>
      </c>
      <c r="U18" s="33">
        <v>2000.0</v>
      </c>
      <c r="V18" s="34" t="s">
        <v>51</v>
      </c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</row>
    <row r="19" ht="19.5" customHeight="1">
      <c r="A19" s="41" t="s">
        <v>52</v>
      </c>
      <c r="B19" s="27">
        <v>4.5</v>
      </c>
      <c r="C19" s="26">
        <f t="shared" si="1"/>
        <v>135</v>
      </c>
      <c r="D19" s="26">
        <v>5.0</v>
      </c>
      <c r="E19" s="26">
        <v>15.0</v>
      </c>
      <c r="F19" s="28">
        <f t="shared" si="2"/>
        <v>1000</v>
      </c>
      <c r="G19" s="29">
        <f t="shared" si="3"/>
        <v>33.33333333</v>
      </c>
      <c r="H19" s="26">
        <v>30.0</v>
      </c>
      <c r="I19" s="26">
        <v>21.0</v>
      </c>
      <c r="J19" s="30">
        <f t="shared" si="12"/>
        <v>3.642857143</v>
      </c>
      <c r="K19" s="26">
        <v>60.0</v>
      </c>
      <c r="L19" s="26">
        <v>50.0</v>
      </c>
      <c r="M19" s="30">
        <f t="shared" si="4"/>
        <v>7.857142857</v>
      </c>
      <c r="N19" s="26">
        <v>21.0</v>
      </c>
      <c r="O19" s="26">
        <v>1.0</v>
      </c>
      <c r="P19" s="30">
        <f t="shared" si="5"/>
        <v>3</v>
      </c>
      <c r="Q19" s="26">
        <f t="shared" ref="Q19:Q32" si="13">K19+N19</f>
        <v>81</v>
      </c>
      <c r="R19" s="30">
        <f t="shared" si="11"/>
        <v>11.5</v>
      </c>
      <c r="S19" s="31"/>
      <c r="T19" s="32" t="s">
        <v>53</v>
      </c>
      <c r="U19" s="33">
        <v>7967.224878945774</v>
      </c>
      <c r="V19" s="34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</row>
    <row r="20" ht="19.5" customHeight="1">
      <c r="A20" s="36" t="s">
        <v>54</v>
      </c>
      <c r="B20" s="44">
        <v>4.5</v>
      </c>
      <c r="C20" s="31">
        <f t="shared" si="1"/>
        <v>135</v>
      </c>
      <c r="D20" s="31">
        <v>5.0</v>
      </c>
      <c r="E20" s="31">
        <v>10.0</v>
      </c>
      <c r="F20" s="37">
        <f t="shared" si="2"/>
        <v>1500</v>
      </c>
      <c r="G20" s="38">
        <f t="shared" si="3"/>
        <v>50</v>
      </c>
      <c r="H20" s="31">
        <v>45.0</v>
      </c>
      <c r="I20" s="31">
        <v>30.0</v>
      </c>
      <c r="J20" s="40">
        <f t="shared" si="12"/>
        <v>5.357142857</v>
      </c>
      <c r="K20" s="31">
        <v>80.0</v>
      </c>
      <c r="L20" s="31">
        <v>60.0</v>
      </c>
      <c r="M20" s="40">
        <f t="shared" si="4"/>
        <v>10</v>
      </c>
      <c r="N20" s="31">
        <v>70.0</v>
      </c>
      <c r="O20" s="31">
        <v>30.0</v>
      </c>
      <c r="P20" s="40">
        <f>+4*5</f>
        <v>20</v>
      </c>
      <c r="Q20" s="31">
        <f t="shared" si="13"/>
        <v>150</v>
      </c>
      <c r="R20" s="40">
        <f t="shared" ref="R20:R21" si="14">+P20+M20</f>
        <v>30</v>
      </c>
      <c r="S20" s="31"/>
      <c r="T20" s="32" t="s">
        <v>55</v>
      </c>
      <c r="U20" s="33">
        <v>2569.351200078409</v>
      </c>
      <c r="V20" s="34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</row>
    <row r="21" ht="19.5" customHeight="1">
      <c r="A21" s="43" t="s">
        <v>56</v>
      </c>
      <c r="B21" s="27">
        <v>5.0</v>
      </c>
      <c r="C21" s="26">
        <f t="shared" si="1"/>
        <v>150</v>
      </c>
      <c r="D21" s="26">
        <v>2.0</v>
      </c>
      <c r="E21" s="26">
        <v>45.0</v>
      </c>
      <c r="F21" s="28">
        <f t="shared" si="2"/>
        <v>133.3333333</v>
      </c>
      <c r="G21" s="29">
        <f t="shared" si="3"/>
        <v>4.444444444</v>
      </c>
      <c r="H21" s="26">
        <v>30.0</v>
      </c>
      <c r="I21" s="26">
        <v>21.0</v>
      </c>
      <c r="J21" s="30">
        <f t="shared" si="12"/>
        <v>3.642857143</v>
      </c>
      <c r="K21" s="26">
        <v>90.0</v>
      </c>
      <c r="L21" s="26">
        <v>50.0</v>
      </c>
      <c r="M21" s="30">
        <f t="shared" si="4"/>
        <v>10</v>
      </c>
      <c r="N21" s="26">
        <v>70.0</v>
      </c>
      <c r="O21" s="26"/>
      <c r="P21" s="30">
        <f t="shared" ref="P21:P32" si="15">N21/7</f>
        <v>10</v>
      </c>
      <c r="Q21" s="26">
        <f t="shared" si="13"/>
        <v>160</v>
      </c>
      <c r="R21" s="30">
        <f t="shared" si="14"/>
        <v>20</v>
      </c>
      <c r="S21" s="31"/>
      <c r="T21" s="32" t="s">
        <v>57</v>
      </c>
      <c r="U21" s="33">
        <v>8500.0</v>
      </c>
      <c r="V21" s="34" t="s">
        <v>24</v>
      </c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</row>
    <row r="22" ht="19.5" customHeight="1">
      <c r="A22" s="36" t="s">
        <v>58</v>
      </c>
      <c r="B22" s="44">
        <v>5.0</v>
      </c>
      <c r="C22" s="31">
        <f t="shared" si="1"/>
        <v>150</v>
      </c>
      <c r="D22" s="31">
        <v>4.0</v>
      </c>
      <c r="E22" s="44">
        <v>15.0</v>
      </c>
      <c r="F22" s="37">
        <f t="shared" si="2"/>
        <v>800</v>
      </c>
      <c r="G22" s="38">
        <f t="shared" si="3"/>
        <v>26.66666667</v>
      </c>
      <c r="H22" s="31">
        <v>80.0</v>
      </c>
      <c r="I22" s="31">
        <v>70.0</v>
      </c>
      <c r="J22" s="40">
        <f t="shared" si="12"/>
        <v>10.71428571</v>
      </c>
      <c r="K22" s="31">
        <v>110.0</v>
      </c>
      <c r="L22" s="31">
        <v>90.0</v>
      </c>
      <c r="M22" s="40">
        <f t="shared" si="4"/>
        <v>14.28571429</v>
      </c>
      <c r="N22" s="31">
        <v>120.0</v>
      </c>
      <c r="O22" s="31">
        <v>1.0</v>
      </c>
      <c r="P22" s="40">
        <f t="shared" si="15"/>
        <v>17.14285714</v>
      </c>
      <c r="Q22" s="31">
        <f t="shared" si="13"/>
        <v>230</v>
      </c>
      <c r="R22" s="40">
        <f>+J22+M22</f>
        <v>25</v>
      </c>
      <c r="S22" s="31"/>
      <c r="T22" s="32" t="s">
        <v>59</v>
      </c>
      <c r="U22" s="33">
        <v>1713.4</v>
      </c>
      <c r="V22" s="34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</row>
    <row r="23" ht="19.5" customHeight="1">
      <c r="A23" s="43" t="s">
        <v>60</v>
      </c>
      <c r="B23" s="49">
        <f>0.15*5*4</f>
        <v>3</v>
      </c>
      <c r="C23" s="26">
        <f t="shared" si="1"/>
        <v>90</v>
      </c>
      <c r="D23" s="26">
        <v>5.0</v>
      </c>
      <c r="E23" s="26">
        <v>5.0</v>
      </c>
      <c r="F23" s="28">
        <f t="shared" si="2"/>
        <v>3000</v>
      </c>
      <c r="G23" s="29">
        <f t="shared" si="3"/>
        <v>100</v>
      </c>
      <c r="H23" s="26"/>
      <c r="I23" s="26"/>
      <c r="J23" s="50">
        <v>0.0</v>
      </c>
      <c r="K23" s="26">
        <v>60.0</v>
      </c>
      <c r="L23" s="26">
        <v>40.0</v>
      </c>
      <c r="M23" s="51">
        <f t="shared" si="4"/>
        <v>7.142857143</v>
      </c>
      <c r="N23" s="26">
        <v>10.0</v>
      </c>
      <c r="O23" s="26">
        <v>1.0</v>
      </c>
      <c r="P23" s="51">
        <f t="shared" si="15"/>
        <v>1.428571429</v>
      </c>
      <c r="Q23" s="26">
        <f t="shared" si="13"/>
        <v>70</v>
      </c>
      <c r="R23" s="30">
        <f>M23+P23</f>
        <v>8.571428571</v>
      </c>
      <c r="S23" s="31"/>
      <c r="T23" s="32" t="s">
        <v>61</v>
      </c>
      <c r="U23" s="33">
        <v>1200.0</v>
      </c>
      <c r="V23" s="34" t="s">
        <v>62</v>
      </c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</row>
    <row r="24" ht="19.5" customHeight="1">
      <c r="A24" s="36" t="s">
        <v>63</v>
      </c>
      <c r="B24" s="52">
        <v>5.0</v>
      </c>
      <c r="C24" s="31">
        <f t="shared" si="1"/>
        <v>150</v>
      </c>
      <c r="D24" s="31">
        <v>5.0</v>
      </c>
      <c r="E24" s="31">
        <v>15.0</v>
      </c>
      <c r="F24" s="37">
        <f t="shared" si="2"/>
        <v>1000</v>
      </c>
      <c r="G24" s="38">
        <f t="shared" si="3"/>
        <v>33.33333333</v>
      </c>
      <c r="H24" s="31">
        <v>45.0</v>
      </c>
      <c r="I24" s="31">
        <v>30.0</v>
      </c>
      <c r="J24" s="40">
        <f t="shared" ref="J24:J25" si="16">AVERAGE(H24:I24)/7</f>
        <v>5.357142857</v>
      </c>
      <c r="K24" s="31">
        <v>75.0</v>
      </c>
      <c r="L24" s="31">
        <v>55.0</v>
      </c>
      <c r="M24" s="40">
        <f t="shared" si="4"/>
        <v>9.285714286</v>
      </c>
      <c r="N24" s="31">
        <v>250.0</v>
      </c>
      <c r="O24" s="31">
        <v>1.0</v>
      </c>
      <c r="P24" s="40">
        <f t="shared" si="15"/>
        <v>35.71428571</v>
      </c>
      <c r="Q24" s="31">
        <f t="shared" si="13"/>
        <v>325</v>
      </c>
      <c r="R24" s="40">
        <f t="shared" ref="R24:R25" si="17">+J24+M24</f>
        <v>14.64285714</v>
      </c>
      <c r="S24" s="31"/>
      <c r="T24" s="32" t="s">
        <v>38</v>
      </c>
      <c r="U24" s="33">
        <v>4000.0</v>
      </c>
      <c r="V24" s="34" t="s">
        <v>24</v>
      </c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</row>
    <row r="25" ht="19.5" customHeight="1">
      <c r="A25" s="43" t="s">
        <v>64</v>
      </c>
      <c r="B25" s="53">
        <v>5.0</v>
      </c>
      <c r="C25" s="26">
        <f t="shared" si="1"/>
        <v>150</v>
      </c>
      <c r="D25" s="26">
        <v>3.0</v>
      </c>
      <c r="E25" s="26">
        <v>45.0</v>
      </c>
      <c r="F25" s="28">
        <f t="shared" si="2"/>
        <v>200</v>
      </c>
      <c r="G25" s="29">
        <f t="shared" si="3"/>
        <v>6.666666667</v>
      </c>
      <c r="H25" s="26">
        <v>40.0</v>
      </c>
      <c r="I25" s="26">
        <v>30.0</v>
      </c>
      <c r="J25" s="30">
        <f t="shared" si="16"/>
        <v>5</v>
      </c>
      <c r="K25" s="26">
        <v>120.0</v>
      </c>
      <c r="L25" s="26">
        <v>90.0</v>
      </c>
      <c r="M25" s="30">
        <f t="shared" si="4"/>
        <v>15</v>
      </c>
      <c r="N25" s="26">
        <v>30.0</v>
      </c>
      <c r="O25" s="26">
        <v>1.0</v>
      </c>
      <c r="P25" s="30">
        <f t="shared" si="15"/>
        <v>4.285714286</v>
      </c>
      <c r="Q25" s="26">
        <f t="shared" si="13"/>
        <v>150</v>
      </c>
      <c r="R25" s="30">
        <f t="shared" si="17"/>
        <v>20</v>
      </c>
      <c r="S25" s="31"/>
      <c r="T25" s="32" t="s">
        <v>65</v>
      </c>
      <c r="U25" s="33">
        <v>1150.2680918977965</v>
      </c>
      <c r="V25" s="34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</row>
    <row r="26" ht="19.5" customHeight="1">
      <c r="A26" s="36" t="s">
        <v>66</v>
      </c>
      <c r="B26" s="52">
        <v>5.0</v>
      </c>
      <c r="C26" s="31">
        <f t="shared" si="1"/>
        <v>150</v>
      </c>
      <c r="D26" s="44">
        <v>5.0</v>
      </c>
      <c r="E26" s="31">
        <v>5.0</v>
      </c>
      <c r="F26" s="37">
        <f t="shared" si="2"/>
        <v>3000</v>
      </c>
      <c r="G26" s="38">
        <f t="shared" si="3"/>
        <v>100</v>
      </c>
      <c r="H26" s="31"/>
      <c r="I26" s="31"/>
      <c r="J26" s="39">
        <v>0.0</v>
      </c>
      <c r="K26" s="31">
        <v>50.0</v>
      </c>
      <c r="L26" s="31">
        <v>30.0</v>
      </c>
      <c r="M26" s="40">
        <f t="shared" si="4"/>
        <v>5.714285714</v>
      </c>
      <c r="N26" s="31">
        <v>14.0</v>
      </c>
      <c r="O26" s="31">
        <v>1.0</v>
      </c>
      <c r="P26" s="40">
        <f t="shared" si="15"/>
        <v>2</v>
      </c>
      <c r="Q26" s="31">
        <f t="shared" si="13"/>
        <v>64</v>
      </c>
      <c r="R26" s="40">
        <f>+M26+P26</f>
        <v>7.714285714</v>
      </c>
      <c r="S26" s="31"/>
      <c r="T26" s="32" t="s">
        <v>40</v>
      </c>
      <c r="U26" s="33">
        <v>4800.0</v>
      </c>
      <c r="V26" s="34" t="s">
        <v>24</v>
      </c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</row>
    <row r="27" ht="19.5" customHeight="1">
      <c r="A27" s="43" t="s">
        <v>67</v>
      </c>
      <c r="B27" s="53">
        <v>4.0</v>
      </c>
      <c r="C27" s="26">
        <f t="shared" si="1"/>
        <v>120</v>
      </c>
      <c r="D27" s="26">
        <v>2.0</v>
      </c>
      <c r="E27" s="26">
        <v>45.0</v>
      </c>
      <c r="F27" s="28">
        <f t="shared" si="2"/>
        <v>133.3333333</v>
      </c>
      <c r="G27" s="29">
        <f t="shared" si="3"/>
        <v>4.444444444</v>
      </c>
      <c r="H27" s="26">
        <v>60.0</v>
      </c>
      <c r="I27" s="26">
        <v>50.0</v>
      </c>
      <c r="J27" s="30">
        <f t="shared" ref="J27:J28" si="18">AVERAGE(H27:I27)/7</f>
        <v>7.857142857</v>
      </c>
      <c r="K27" s="26">
        <v>100.0</v>
      </c>
      <c r="L27" s="26">
        <v>90.0</v>
      </c>
      <c r="M27" s="30">
        <f t="shared" si="4"/>
        <v>13.57142857</v>
      </c>
      <c r="N27" s="26">
        <v>100.0</v>
      </c>
      <c r="O27" s="26">
        <v>30.0</v>
      </c>
      <c r="P27" s="30">
        <f t="shared" si="15"/>
        <v>14.28571429</v>
      </c>
      <c r="Q27" s="26">
        <f t="shared" si="13"/>
        <v>200</v>
      </c>
      <c r="R27" s="30">
        <f>+P27+M27</f>
        <v>27.85714286</v>
      </c>
      <c r="S27" s="31"/>
      <c r="T27" s="32" t="s">
        <v>41</v>
      </c>
      <c r="U27" s="33">
        <v>8000.0</v>
      </c>
      <c r="V27" s="34" t="s">
        <v>24</v>
      </c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</row>
    <row r="28" ht="19.5" customHeight="1">
      <c r="A28" s="36" t="s">
        <v>68</v>
      </c>
      <c r="B28" s="54"/>
      <c r="C28" s="31">
        <f t="shared" si="1"/>
        <v>0</v>
      </c>
      <c r="D28" s="31">
        <v>4.0</v>
      </c>
      <c r="E28" s="31">
        <v>20.0</v>
      </c>
      <c r="F28" s="37">
        <f t="shared" si="2"/>
        <v>600</v>
      </c>
      <c r="G28" s="38">
        <f t="shared" si="3"/>
        <v>20</v>
      </c>
      <c r="H28" s="31">
        <v>50.0</v>
      </c>
      <c r="I28" s="31">
        <v>40.0</v>
      </c>
      <c r="J28" s="40">
        <f t="shared" si="18"/>
        <v>6.428571429</v>
      </c>
      <c r="K28" s="31">
        <v>70.0</v>
      </c>
      <c r="L28" s="31">
        <v>50.0</v>
      </c>
      <c r="M28" s="40">
        <f t="shared" si="4"/>
        <v>8.571428571</v>
      </c>
      <c r="N28" s="31">
        <v>14.0</v>
      </c>
      <c r="O28" s="31">
        <v>1.0</v>
      </c>
      <c r="P28" s="40">
        <f t="shared" si="15"/>
        <v>2</v>
      </c>
      <c r="Q28" s="31">
        <f t="shared" si="13"/>
        <v>84</v>
      </c>
      <c r="R28" s="40">
        <f t="shared" ref="R28:R31" si="19">+J28+M28</f>
        <v>15</v>
      </c>
      <c r="S28" s="31"/>
      <c r="T28" s="32" t="s">
        <v>42</v>
      </c>
      <c r="U28" s="33">
        <v>5000.0</v>
      </c>
      <c r="V28" s="34" t="s">
        <v>24</v>
      </c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</row>
    <row r="29" ht="19.5" customHeight="1">
      <c r="A29" s="43" t="s">
        <v>69</v>
      </c>
      <c r="B29" s="55">
        <v>6.0</v>
      </c>
      <c r="C29" s="26">
        <f t="shared" si="1"/>
        <v>180</v>
      </c>
      <c r="D29" s="26">
        <v>5.0</v>
      </c>
      <c r="E29" s="27">
        <v>10.0</v>
      </c>
      <c r="F29" s="28">
        <f t="shared" si="2"/>
        <v>1500</v>
      </c>
      <c r="G29" s="29">
        <f t="shared" si="3"/>
        <v>50</v>
      </c>
      <c r="H29" s="26"/>
      <c r="I29" s="26"/>
      <c r="J29" s="50">
        <v>0.0</v>
      </c>
      <c r="K29" s="26">
        <v>100.0</v>
      </c>
      <c r="L29" s="26">
        <v>85.0</v>
      </c>
      <c r="M29" s="30">
        <f t="shared" si="4"/>
        <v>13.21428571</v>
      </c>
      <c r="N29" s="26">
        <v>250.0</v>
      </c>
      <c r="O29" s="26">
        <v>1.0</v>
      </c>
      <c r="P29" s="30">
        <f t="shared" si="15"/>
        <v>35.71428571</v>
      </c>
      <c r="Q29" s="26">
        <f t="shared" si="13"/>
        <v>350</v>
      </c>
      <c r="R29" s="30">
        <f t="shared" si="19"/>
        <v>13.21428571</v>
      </c>
      <c r="S29" s="31"/>
      <c r="T29" s="32" t="s">
        <v>70</v>
      </c>
      <c r="U29" s="33">
        <v>4200.0</v>
      </c>
      <c r="V29" s="34" t="s">
        <v>24</v>
      </c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</row>
    <row r="30" ht="19.5" customHeight="1">
      <c r="A30" s="56" t="s">
        <v>71</v>
      </c>
      <c r="B30" s="52">
        <v>4.5</v>
      </c>
      <c r="C30" s="31">
        <f t="shared" si="1"/>
        <v>135</v>
      </c>
      <c r="D30" s="31">
        <v>1.0</v>
      </c>
      <c r="E30" s="31">
        <v>50.0</v>
      </c>
      <c r="F30" s="37">
        <f t="shared" si="2"/>
        <v>60</v>
      </c>
      <c r="G30" s="38">
        <f t="shared" si="3"/>
        <v>2</v>
      </c>
      <c r="H30" s="31">
        <v>40.0</v>
      </c>
      <c r="I30" s="31">
        <v>30.0</v>
      </c>
      <c r="J30" s="40">
        <f t="shared" ref="J30:J32" si="20">AVERAGE(H30:I30)/7</f>
        <v>5</v>
      </c>
      <c r="K30" s="31">
        <v>40.0</v>
      </c>
      <c r="L30" s="31">
        <v>25.0</v>
      </c>
      <c r="M30" s="40">
        <f t="shared" si="4"/>
        <v>4.642857143</v>
      </c>
      <c r="N30" s="31">
        <v>45.0</v>
      </c>
      <c r="O30" s="31">
        <v>30.0</v>
      </c>
      <c r="P30" s="40">
        <f t="shared" si="15"/>
        <v>6.428571429</v>
      </c>
      <c r="Q30" s="31">
        <f t="shared" si="13"/>
        <v>85</v>
      </c>
      <c r="R30" s="40">
        <f t="shared" si="19"/>
        <v>9.642857143</v>
      </c>
      <c r="S30" s="31"/>
      <c r="T30" s="32" t="s">
        <v>28</v>
      </c>
      <c r="U30" s="33">
        <v>3500.0</v>
      </c>
      <c r="V30" s="34" t="s">
        <v>24</v>
      </c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</row>
    <row r="31" ht="19.5" customHeight="1">
      <c r="A31" s="43" t="s">
        <v>72</v>
      </c>
      <c r="B31" s="53">
        <v>3.0</v>
      </c>
      <c r="C31" s="26">
        <f t="shared" si="1"/>
        <v>90</v>
      </c>
      <c r="D31" s="26">
        <v>1.0</v>
      </c>
      <c r="E31" s="26">
        <v>80.0</v>
      </c>
      <c r="F31" s="28">
        <f t="shared" si="2"/>
        <v>37.5</v>
      </c>
      <c r="G31" s="29">
        <f t="shared" si="3"/>
        <v>1.25</v>
      </c>
      <c r="H31" s="26">
        <v>40.0</v>
      </c>
      <c r="I31" s="26">
        <v>30.0</v>
      </c>
      <c r="J31" s="30">
        <f t="shared" si="20"/>
        <v>5</v>
      </c>
      <c r="K31" s="26">
        <v>140.0</v>
      </c>
      <c r="L31" s="26">
        <v>120.0</v>
      </c>
      <c r="M31" s="30">
        <f t="shared" si="4"/>
        <v>18.57142857</v>
      </c>
      <c r="N31" s="26">
        <v>30.0</v>
      </c>
      <c r="O31" s="26">
        <v>1.0</v>
      </c>
      <c r="P31" s="30">
        <f t="shared" si="15"/>
        <v>4.285714286</v>
      </c>
      <c r="Q31" s="26">
        <f t="shared" si="13"/>
        <v>170</v>
      </c>
      <c r="R31" s="30">
        <f t="shared" si="19"/>
        <v>23.57142857</v>
      </c>
      <c r="S31" s="31"/>
      <c r="T31" s="32" t="s">
        <v>44</v>
      </c>
      <c r="U31" s="33">
        <v>3000.0</v>
      </c>
      <c r="V31" s="34" t="s">
        <v>24</v>
      </c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</row>
    <row r="32" ht="19.5" customHeight="1">
      <c r="A32" s="36" t="s">
        <v>73</v>
      </c>
      <c r="B32" s="52">
        <v>4.5</v>
      </c>
      <c r="C32" s="31">
        <f t="shared" si="1"/>
        <v>135</v>
      </c>
      <c r="D32" s="31">
        <v>1.0</v>
      </c>
      <c r="E32" s="31">
        <v>50.0</v>
      </c>
      <c r="F32" s="37">
        <f t="shared" si="2"/>
        <v>60</v>
      </c>
      <c r="G32" s="38">
        <f t="shared" si="3"/>
        <v>2</v>
      </c>
      <c r="H32" s="31">
        <v>40.0</v>
      </c>
      <c r="I32" s="31">
        <v>30.0</v>
      </c>
      <c r="J32" s="40">
        <f t="shared" si="20"/>
        <v>5</v>
      </c>
      <c r="K32" s="31">
        <v>40.0</v>
      </c>
      <c r="L32" s="31">
        <v>25.0</v>
      </c>
      <c r="M32" s="40">
        <f t="shared" si="4"/>
        <v>4.642857143</v>
      </c>
      <c r="N32" s="31">
        <v>45.0</v>
      </c>
      <c r="O32" s="31">
        <v>30.0</v>
      </c>
      <c r="P32" s="40">
        <f t="shared" si="15"/>
        <v>6.428571429</v>
      </c>
      <c r="Q32" s="31">
        <f t="shared" si="13"/>
        <v>85</v>
      </c>
      <c r="R32" s="40">
        <f>+P32+M32</f>
        <v>11.07142857</v>
      </c>
      <c r="S32" s="31"/>
      <c r="T32" s="32" t="s">
        <v>47</v>
      </c>
      <c r="U32" s="33">
        <v>3600.0</v>
      </c>
      <c r="V32" s="34" t="s">
        <v>24</v>
      </c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</row>
    <row r="33">
      <c r="A33" s="57"/>
      <c r="B33" s="58"/>
      <c r="C33" s="26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9"/>
      <c r="T33" s="60" t="s">
        <v>49</v>
      </c>
      <c r="U33" s="61">
        <v>12000.0</v>
      </c>
      <c r="V33" s="62" t="s">
        <v>24</v>
      </c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</row>
    <row r="34">
      <c r="A34" s="59"/>
      <c r="B34" s="54"/>
      <c r="C34" s="31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60" t="s">
        <v>74</v>
      </c>
      <c r="U34" s="64">
        <v>8000.0</v>
      </c>
      <c r="V34" s="65" t="s">
        <v>24</v>
      </c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</row>
    <row r="35">
      <c r="A35" s="59"/>
      <c r="B35" s="66"/>
      <c r="C35" s="67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60" t="s">
        <v>75</v>
      </c>
      <c r="U35" s="64">
        <v>1100.0</v>
      </c>
      <c r="V35" s="65" t="s">
        <v>62</v>
      </c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</row>
    <row r="36">
      <c r="A36" s="59"/>
      <c r="B36" s="67"/>
      <c r="C36" s="67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0" t="s">
        <v>76</v>
      </c>
      <c r="U36" s="64">
        <v>2375.2534735507465</v>
      </c>
      <c r="V36" s="65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</row>
    <row r="37">
      <c r="A37" s="59"/>
      <c r="B37" s="67"/>
      <c r="C37" s="67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68" t="s">
        <v>56</v>
      </c>
      <c r="U37" s="64">
        <v>8000.0</v>
      </c>
      <c r="V37" s="65" t="s">
        <v>24</v>
      </c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</row>
    <row r="38">
      <c r="A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0" t="s">
        <v>77</v>
      </c>
      <c r="U38" s="64">
        <v>2551.4120898262427</v>
      </c>
      <c r="V38" s="65" t="s">
        <v>24</v>
      </c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</row>
    <row r="39">
      <c r="A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0" t="s">
        <v>78</v>
      </c>
      <c r="U39" s="64">
        <v>2154.424919320405</v>
      </c>
      <c r="V39" s="65" t="s">
        <v>24</v>
      </c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</row>
    <row r="40">
      <c r="A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8" t="s">
        <v>52</v>
      </c>
      <c r="U40" s="64">
        <v>3000.0</v>
      </c>
      <c r="V40" s="65" t="s">
        <v>24</v>
      </c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</row>
    <row r="41">
      <c r="A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0" t="s">
        <v>79</v>
      </c>
      <c r="U41" s="64">
        <v>4000.0</v>
      </c>
      <c r="V41" s="65" t="s">
        <v>24</v>
      </c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</row>
    <row r="42">
      <c r="A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0" t="s">
        <v>80</v>
      </c>
      <c r="U42" s="64">
        <v>4182.79306144653</v>
      </c>
      <c r="V42" s="65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</row>
    <row r="43">
      <c r="A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0" t="s">
        <v>81</v>
      </c>
      <c r="U43" s="64">
        <v>5000.0</v>
      </c>
      <c r="V43" s="65" t="s">
        <v>24</v>
      </c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</row>
    <row r="44">
      <c r="A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0" t="s">
        <v>82</v>
      </c>
      <c r="U44" s="61">
        <v>2500.0</v>
      </c>
      <c r="V44" s="65" t="s">
        <v>24</v>
      </c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</row>
    <row r="45">
      <c r="A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0" t="s">
        <v>83</v>
      </c>
      <c r="U45" s="64">
        <v>3433.9906672995007</v>
      </c>
      <c r="V45" s="65" t="s">
        <v>24</v>
      </c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</row>
    <row r="46">
      <c r="A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0" t="s">
        <v>84</v>
      </c>
      <c r="U46" s="64">
        <v>1846.0045902375005</v>
      </c>
      <c r="V46" s="65" t="s">
        <v>24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</row>
    <row r="47">
      <c r="A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0" t="s">
        <v>85</v>
      </c>
      <c r="U47" s="64">
        <v>5401.3654888195915</v>
      </c>
      <c r="V47" s="65" t="s">
        <v>24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</row>
    <row r="48">
      <c r="A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0" t="s">
        <v>86</v>
      </c>
      <c r="U48" s="64">
        <v>3279.675754566958</v>
      </c>
      <c r="V48" s="65" t="s">
        <v>24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</row>
    <row r="49">
      <c r="A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0" t="s">
        <v>54</v>
      </c>
      <c r="U49" s="64">
        <v>11000.0</v>
      </c>
      <c r="V49" s="62" t="s">
        <v>24</v>
      </c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</row>
    <row r="50">
      <c r="A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0" t="s">
        <v>58</v>
      </c>
      <c r="U50" s="64">
        <v>2700.0</v>
      </c>
      <c r="V50" s="65" t="s">
        <v>24</v>
      </c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</row>
    <row r="51">
      <c r="A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0" t="s">
        <v>87</v>
      </c>
      <c r="U51" s="64">
        <v>4163.693549750427</v>
      </c>
      <c r="V51" s="65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</row>
    <row r="52">
      <c r="A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0" t="s">
        <v>60</v>
      </c>
      <c r="U52" s="64">
        <v>4500.0</v>
      </c>
      <c r="V52" s="65" t="s">
        <v>24</v>
      </c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</row>
    <row r="53">
      <c r="A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0" t="s">
        <v>63</v>
      </c>
      <c r="U53" s="64">
        <v>2800.0</v>
      </c>
      <c r="V53" s="65" t="s">
        <v>24</v>
      </c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</row>
    <row r="54">
      <c r="A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8" t="s">
        <v>64</v>
      </c>
      <c r="U54" s="64">
        <v>3000.0</v>
      </c>
      <c r="V54" s="65" t="s">
        <v>24</v>
      </c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</row>
    <row r="55">
      <c r="A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0" t="s">
        <v>88</v>
      </c>
      <c r="U55" s="64">
        <v>3000.0</v>
      </c>
      <c r="V55" s="65" t="s">
        <v>24</v>
      </c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</row>
    <row r="56">
      <c r="A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8" t="s">
        <v>66</v>
      </c>
      <c r="U56" s="61">
        <v>12000.0</v>
      </c>
      <c r="V56" s="65" t="s">
        <v>24</v>
      </c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</row>
    <row r="57">
      <c r="A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0" t="s">
        <v>67</v>
      </c>
      <c r="U57" s="64">
        <v>4000.0</v>
      </c>
      <c r="V57" s="65" t="s">
        <v>24</v>
      </c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</row>
    <row r="58">
      <c r="A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0" t="s">
        <v>69</v>
      </c>
      <c r="U58" s="64">
        <v>2900.0</v>
      </c>
      <c r="V58" s="65" t="s">
        <v>24</v>
      </c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</row>
    <row r="59">
      <c r="A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0" t="s">
        <v>71</v>
      </c>
      <c r="U59" s="64">
        <v>2500.0</v>
      </c>
      <c r="V59" s="65" t="s">
        <v>24</v>
      </c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</row>
    <row r="60">
      <c r="A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0" t="s">
        <v>72</v>
      </c>
      <c r="U60" s="64">
        <v>2000.0</v>
      </c>
      <c r="V60" s="65" t="s">
        <v>24</v>
      </c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</row>
    <row r="61">
      <c r="A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0" t="s">
        <v>73</v>
      </c>
      <c r="U61" s="64">
        <v>2500.0</v>
      </c>
      <c r="V61" s="65" t="s">
        <v>24</v>
      </c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</row>
    <row r="62">
      <c r="A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</row>
    <row r="63">
      <c r="A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</row>
    <row r="64">
      <c r="A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</row>
    <row r="65">
      <c r="A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</row>
    <row r="66">
      <c r="A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</row>
    <row r="67">
      <c r="A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</row>
    <row r="68">
      <c r="A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</row>
    <row r="69">
      <c r="A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</row>
    <row r="70">
      <c r="A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</row>
    <row r="71">
      <c r="A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</row>
    <row r="72">
      <c r="A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</row>
    <row r="73">
      <c r="A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</row>
    <row r="74">
      <c r="A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</row>
    <row r="75">
      <c r="A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</row>
    <row r="76">
      <c r="A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</row>
    <row r="77">
      <c r="A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</row>
    <row r="78">
      <c r="A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</row>
    <row r="79">
      <c r="A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</row>
    <row r="80">
      <c r="A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</row>
    <row r="81">
      <c r="A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</row>
    <row r="82">
      <c r="A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</row>
    <row r="83">
      <c r="A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</row>
    <row r="84">
      <c r="A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</row>
    <row r="85">
      <c r="A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</row>
    <row r="86">
      <c r="A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</row>
    <row r="87">
      <c r="A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</row>
    <row r="88">
      <c r="A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</row>
    <row r="89">
      <c r="A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</row>
    <row r="90">
      <c r="A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</row>
    <row r="91">
      <c r="A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</row>
    <row r="92">
      <c r="A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</row>
    <row r="93">
      <c r="A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</row>
    <row r="94">
      <c r="A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</row>
    <row r="95">
      <c r="A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</row>
    <row r="96">
      <c r="A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</row>
    <row r="97">
      <c r="A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</row>
    <row r="98">
      <c r="A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</row>
    <row r="99">
      <c r="A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</row>
    <row r="100">
      <c r="A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</row>
    <row r="101">
      <c r="A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</row>
    <row r="102">
      <c r="A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</row>
    <row r="103">
      <c r="A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</row>
    <row r="104">
      <c r="A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</row>
    <row r="105">
      <c r="A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</row>
    <row r="106">
      <c r="A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</row>
    <row r="107">
      <c r="A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</row>
    <row r="108">
      <c r="A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</row>
    <row r="109">
      <c r="A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</row>
    <row r="110">
      <c r="A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</row>
    <row r="111">
      <c r="A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</row>
    <row r="112">
      <c r="A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</row>
    <row r="113">
      <c r="A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</row>
    <row r="114">
      <c r="A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</row>
    <row r="115">
      <c r="A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</row>
    <row r="116">
      <c r="A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</row>
    <row r="117">
      <c r="A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</row>
    <row r="118">
      <c r="A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</row>
    <row r="119">
      <c r="A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</row>
    <row r="120">
      <c r="A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</row>
    <row r="121">
      <c r="A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</row>
    <row r="122">
      <c r="A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</row>
    <row r="123">
      <c r="A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</row>
    <row r="124">
      <c r="A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</row>
    <row r="125">
      <c r="A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</row>
    <row r="126">
      <c r="A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</row>
    <row r="127">
      <c r="A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</row>
    <row r="128">
      <c r="A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</row>
    <row r="129">
      <c r="A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</row>
    <row r="130">
      <c r="A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</row>
    <row r="131">
      <c r="A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</row>
    <row r="132">
      <c r="A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</row>
    <row r="133">
      <c r="A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</row>
    <row r="134">
      <c r="A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</row>
    <row r="135">
      <c r="A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</row>
    <row r="136">
      <c r="A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</row>
    <row r="137">
      <c r="A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</row>
    <row r="138">
      <c r="A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</row>
    <row r="139">
      <c r="A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</row>
    <row r="140">
      <c r="A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</row>
    <row r="141">
      <c r="A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</row>
    <row r="142">
      <c r="A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</row>
    <row r="143">
      <c r="A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</row>
    <row r="144">
      <c r="A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</row>
    <row r="145">
      <c r="A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</row>
    <row r="146">
      <c r="A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</row>
    <row r="147">
      <c r="A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</row>
    <row r="148">
      <c r="A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</row>
    <row r="149">
      <c r="A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</row>
    <row r="150">
      <c r="A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</row>
    <row r="151">
      <c r="A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</row>
    <row r="152">
      <c r="A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</row>
    <row r="153">
      <c r="A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</row>
    <row r="154">
      <c r="A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</row>
    <row r="155">
      <c r="A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</row>
    <row r="156">
      <c r="A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</row>
    <row r="157">
      <c r="A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</row>
    <row r="158">
      <c r="A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</row>
    <row r="159">
      <c r="A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</row>
    <row r="160">
      <c r="A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</row>
    <row r="161">
      <c r="A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</row>
    <row r="162">
      <c r="A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</row>
    <row r="163">
      <c r="A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</row>
    <row r="164">
      <c r="A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</row>
    <row r="165">
      <c r="A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</row>
    <row r="166">
      <c r="A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</row>
    <row r="167">
      <c r="A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</row>
    <row r="168">
      <c r="A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</row>
    <row r="169">
      <c r="A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</row>
    <row r="170">
      <c r="A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</row>
    <row r="171">
      <c r="A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</row>
    <row r="172">
      <c r="A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</row>
    <row r="173">
      <c r="A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</row>
    <row r="174">
      <c r="A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</row>
    <row r="175">
      <c r="A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</row>
    <row r="176">
      <c r="A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</row>
    <row r="177">
      <c r="A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</row>
    <row r="178">
      <c r="A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</row>
    <row r="179">
      <c r="A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</row>
    <row r="180">
      <c r="A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</row>
    <row r="181">
      <c r="A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</row>
    <row r="182">
      <c r="A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</row>
    <row r="183">
      <c r="A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</row>
    <row r="184">
      <c r="A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</row>
    <row r="185">
      <c r="A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</row>
    <row r="186">
      <c r="A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</row>
    <row r="187">
      <c r="A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</row>
    <row r="188">
      <c r="A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</row>
    <row r="189">
      <c r="A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</row>
    <row r="190">
      <c r="A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</row>
    <row r="191">
      <c r="A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</row>
    <row r="192">
      <c r="A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</row>
    <row r="193">
      <c r="A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</row>
    <row r="194">
      <c r="A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</row>
    <row r="195">
      <c r="A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</row>
    <row r="196">
      <c r="A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</row>
    <row r="197">
      <c r="A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</row>
    <row r="198">
      <c r="A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</row>
    <row r="199">
      <c r="A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</row>
    <row r="200">
      <c r="A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</row>
    <row r="201">
      <c r="A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</row>
    <row r="202">
      <c r="A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</row>
    <row r="203">
      <c r="A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</row>
    <row r="204">
      <c r="A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</row>
    <row r="205">
      <c r="A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</row>
    <row r="206">
      <c r="A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</row>
    <row r="207">
      <c r="A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</row>
    <row r="208">
      <c r="A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</row>
    <row r="209">
      <c r="A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</row>
    <row r="210">
      <c r="A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</row>
    <row r="211">
      <c r="A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</row>
    <row r="212">
      <c r="A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</row>
    <row r="213">
      <c r="A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</row>
    <row r="214">
      <c r="A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</row>
    <row r="215">
      <c r="A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</row>
    <row r="216">
      <c r="A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</row>
    <row r="217">
      <c r="A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</row>
    <row r="218">
      <c r="A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</row>
    <row r="219">
      <c r="A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</row>
    <row r="220">
      <c r="A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</row>
    <row r="221">
      <c r="A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</row>
    <row r="222">
      <c r="A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</row>
    <row r="223">
      <c r="A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</row>
    <row r="224">
      <c r="A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</row>
    <row r="225">
      <c r="A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</row>
    <row r="226">
      <c r="A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</row>
    <row r="227">
      <c r="A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</row>
    <row r="228">
      <c r="A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</row>
    <row r="229">
      <c r="A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</row>
    <row r="230">
      <c r="A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</row>
    <row r="231">
      <c r="A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</row>
    <row r="232">
      <c r="A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</row>
    <row r="233">
      <c r="A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</row>
    <row r="234">
      <c r="A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</row>
    <row r="235">
      <c r="A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</row>
    <row r="236">
      <c r="A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</row>
    <row r="237">
      <c r="A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</row>
    <row r="238">
      <c r="A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</row>
    <row r="239">
      <c r="A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</row>
    <row r="240">
      <c r="A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</row>
    <row r="241">
      <c r="A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</row>
    <row r="242">
      <c r="A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</row>
    <row r="243">
      <c r="A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</row>
    <row r="244">
      <c r="A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</row>
    <row r="245">
      <c r="A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</row>
    <row r="246">
      <c r="A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</row>
    <row r="247">
      <c r="A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</row>
    <row r="248">
      <c r="A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</row>
    <row r="249">
      <c r="A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</row>
    <row r="250">
      <c r="A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</row>
    <row r="251">
      <c r="A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</row>
    <row r="252">
      <c r="A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</row>
    <row r="253">
      <c r="A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</row>
    <row r="254">
      <c r="A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</row>
    <row r="255">
      <c r="A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</row>
    <row r="256">
      <c r="A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</row>
    <row r="257">
      <c r="A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</row>
    <row r="258">
      <c r="A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</row>
    <row r="259">
      <c r="A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</row>
    <row r="260">
      <c r="A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</row>
    <row r="261">
      <c r="A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</row>
    <row r="262">
      <c r="A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</row>
    <row r="263">
      <c r="A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</row>
    <row r="264">
      <c r="A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</row>
    <row r="265">
      <c r="A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</row>
    <row r="266">
      <c r="A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</row>
    <row r="267">
      <c r="A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</row>
    <row r="268">
      <c r="A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</row>
    <row r="269">
      <c r="A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</row>
    <row r="270">
      <c r="A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</row>
    <row r="271">
      <c r="A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</row>
    <row r="272">
      <c r="A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</row>
    <row r="273">
      <c r="A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</row>
    <row r="274">
      <c r="A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</row>
    <row r="275">
      <c r="A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</row>
    <row r="276">
      <c r="A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</row>
    <row r="277">
      <c r="A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</row>
    <row r="278">
      <c r="A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</row>
    <row r="279">
      <c r="A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</row>
    <row r="280">
      <c r="A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</row>
    <row r="281">
      <c r="A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</row>
    <row r="282">
      <c r="A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</row>
    <row r="283">
      <c r="A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</row>
    <row r="284">
      <c r="A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</row>
    <row r="285">
      <c r="A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</row>
    <row r="286">
      <c r="A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</row>
    <row r="287">
      <c r="A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</row>
    <row r="288">
      <c r="A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</row>
    <row r="289">
      <c r="A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</row>
    <row r="290">
      <c r="A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</row>
    <row r="291">
      <c r="A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</row>
    <row r="292">
      <c r="A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</row>
    <row r="293">
      <c r="A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</row>
    <row r="294">
      <c r="A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</row>
    <row r="295">
      <c r="A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</row>
    <row r="296">
      <c r="A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</row>
    <row r="297">
      <c r="A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</row>
    <row r="298">
      <c r="A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</row>
    <row r="299">
      <c r="A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</row>
    <row r="300">
      <c r="A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</row>
    <row r="301">
      <c r="A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</row>
    <row r="302">
      <c r="A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</row>
    <row r="303">
      <c r="A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</row>
    <row r="304">
      <c r="A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</row>
    <row r="305">
      <c r="A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</row>
    <row r="306">
      <c r="A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</row>
    <row r="307">
      <c r="A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</row>
    <row r="308">
      <c r="A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</row>
    <row r="309">
      <c r="A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</row>
    <row r="310">
      <c r="A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</row>
    <row r="311">
      <c r="A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</row>
    <row r="312">
      <c r="A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</row>
    <row r="313">
      <c r="A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</row>
    <row r="314">
      <c r="A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</row>
    <row r="315">
      <c r="A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</row>
    <row r="316">
      <c r="A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</row>
    <row r="317">
      <c r="A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</row>
    <row r="318">
      <c r="A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</row>
    <row r="319">
      <c r="A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</row>
    <row r="320">
      <c r="A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</row>
    <row r="321">
      <c r="A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</row>
    <row r="322">
      <c r="A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</row>
    <row r="323">
      <c r="A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</row>
    <row r="324">
      <c r="A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</row>
    <row r="325">
      <c r="A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</row>
    <row r="326">
      <c r="A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</row>
    <row r="327">
      <c r="A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</row>
    <row r="328">
      <c r="A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</row>
    <row r="329">
      <c r="A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</row>
    <row r="330">
      <c r="A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</row>
    <row r="331">
      <c r="A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</row>
    <row r="332">
      <c r="A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</row>
    <row r="333">
      <c r="A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</row>
    <row r="334">
      <c r="A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</row>
    <row r="335">
      <c r="A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</row>
    <row r="336">
      <c r="A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</row>
    <row r="337">
      <c r="A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</row>
    <row r="338">
      <c r="A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</row>
    <row r="339">
      <c r="A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</row>
    <row r="340">
      <c r="A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</row>
    <row r="341">
      <c r="A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</row>
    <row r="342">
      <c r="A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</row>
    <row r="343">
      <c r="A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</row>
    <row r="344">
      <c r="A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</row>
    <row r="345">
      <c r="A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</row>
    <row r="346">
      <c r="A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</row>
    <row r="347">
      <c r="A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</row>
    <row r="348">
      <c r="A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</row>
    <row r="349">
      <c r="A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</row>
    <row r="350">
      <c r="A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</row>
    <row r="351">
      <c r="A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</row>
    <row r="352">
      <c r="A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</row>
    <row r="353">
      <c r="A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</row>
    <row r="354">
      <c r="A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</row>
    <row r="355">
      <c r="A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</row>
    <row r="356">
      <c r="A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</row>
    <row r="357">
      <c r="A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</row>
    <row r="358">
      <c r="A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</row>
    <row r="359">
      <c r="A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</row>
    <row r="360">
      <c r="A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</row>
    <row r="361">
      <c r="A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</row>
    <row r="362">
      <c r="A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</row>
    <row r="363">
      <c r="A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</row>
    <row r="364">
      <c r="A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</row>
    <row r="365">
      <c r="A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</row>
    <row r="366">
      <c r="A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</row>
    <row r="367">
      <c r="A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</row>
    <row r="368">
      <c r="A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</row>
    <row r="369">
      <c r="A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</row>
    <row r="370">
      <c r="A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</row>
    <row r="371">
      <c r="A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</row>
    <row r="372">
      <c r="A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</row>
    <row r="373">
      <c r="A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</row>
    <row r="374">
      <c r="A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</row>
    <row r="375">
      <c r="A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</row>
    <row r="376">
      <c r="A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</row>
    <row r="377">
      <c r="A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</row>
    <row r="378">
      <c r="A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</row>
    <row r="379">
      <c r="A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</row>
    <row r="380">
      <c r="A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</row>
    <row r="381">
      <c r="A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</row>
    <row r="382">
      <c r="A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</row>
    <row r="383">
      <c r="A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</row>
    <row r="384">
      <c r="A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</row>
    <row r="385">
      <c r="A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</row>
    <row r="386">
      <c r="A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</row>
    <row r="387">
      <c r="A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</row>
    <row r="388">
      <c r="A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</row>
    <row r="389">
      <c r="A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</row>
    <row r="390">
      <c r="A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</row>
    <row r="391">
      <c r="A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</row>
    <row r="392">
      <c r="A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</row>
    <row r="393">
      <c r="A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</row>
    <row r="394">
      <c r="A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</row>
    <row r="395">
      <c r="A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</row>
    <row r="396">
      <c r="A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</row>
    <row r="397">
      <c r="A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</row>
    <row r="398">
      <c r="A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</row>
    <row r="399">
      <c r="A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</row>
    <row r="400">
      <c r="A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</row>
    <row r="401">
      <c r="A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</row>
    <row r="402">
      <c r="A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</row>
    <row r="403">
      <c r="A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</row>
    <row r="404">
      <c r="A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</row>
    <row r="405">
      <c r="A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</row>
    <row r="406">
      <c r="A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</row>
    <row r="407">
      <c r="A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</row>
    <row r="408">
      <c r="A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</row>
    <row r="409">
      <c r="A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</row>
    <row r="410">
      <c r="A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</row>
    <row r="411">
      <c r="A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</row>
    <row r="412">
      <c r="A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</row>
    <row r="413">
      <c r="A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</row>
    <row r="414">
      <c r="A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</row>
    <row r="415">
      <c r="A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</row>
    <row r="416">
      <c r="A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</row>
    <row r="417">
      <c r="A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</row>
    <row r="418">
      <c r="A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</row>
    <row r="419">
      <c r="A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</row>
    <row r="420">
      <c r="A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</row>
    <row r="421">
      <c r="A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</row>
    <row r="422">
      <c r="A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</row>
    <row r="423">
      <c r="A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</row>
    <row r="424">
      <c r="A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</row>
    <row r="425">
      <c r="A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</row>
    <row r="426">
      <c r="A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</row>
    <row r="427">
      <c r="A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</row>
    <row r="428">
      <c r="A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</row>
    <row r="429">
      <c r="A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</row>
    <row r="430">
      <c r="A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</row>
    <row r="431">
      <c r="A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</row>
    <row r="432">
      <c r="A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</row>
    <row r="433">
      <c r="A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</row>
    <row r="434">
      <c r="A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</row>
    <row r="435">
      <c r="A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</row>
    <row r="436">
      <c r="A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</row>
    <row r="437">
      <c r="A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</row>
    <row r="438">
      <c r="A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</row>
    <row r="439">
      <c r="A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</row>
    <row r="440">
      <c r="A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</row>
    <row r="441">
      <c r="A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</row>
    <row r="442">
      <c r="A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</row>
    <row r="443">
      <c r="A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</row>
    <row r="444">
      <c r="A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</row>
    <row r="445">
      <c r="A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</row>
    <row r="446">
      <c r="A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</row>
    <row r="447">
      <c r="A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</row>
    <row r="448">
      <c r="A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</row>
    <row r="449">
      <c r="A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</row>
    <row r="450">
      <c r="A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</row>
    <row r="451">
      <c r="A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</row>
    <row r="452">
      <c r="A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</row>
    <row r="453">
      <c r="A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</row>
    <row r="454">
      <c r="A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</row>
    <row r="455">
      <c r="A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</row>
    <row r="456">
      <c r="A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</row>
    <row r="457">
      <c r="A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</row>
    <row r="458">
      <c r="A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</row>
    <row r="459">
      <c r="A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</row>
    <row r="460">
      <c r="A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</row>
    <row r="461">
      <c r="A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</row>
    <row r="462">
      <c r="A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</row>
    <row r="463">
      <c r="A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</row>
    <row r="464">
      <c r="A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</row>
    <row r="465">
      <c r="A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</row>
    <row r="466">
      <c r="A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</row>
    <row r="467">
      <c r="A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</row>
    <row r="468">
      <c r="A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</row>
    <row r="469">
      <c r="A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</row>
    <row r="470">
      <c r="A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</row>
    <row r="471">
      <c r="A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</row>
    <row r="472">
      <c r="A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</row>
    <row r="473">
      <c r="A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</row>
    <row r="474">
      <c r="A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</row>
    <row r="475">
      <c r="A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</row>
    <row r="476">
      <c r="A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</row>
    <row r="477">
      <c r="A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</row>
    <row r="478">
      <c r="A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</row>
    <row r="479">
      <c r="A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</row>
    <row r="480">
      <c r="A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</row>
    <row r="481">
      <c r="A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</row>
    <row r="482">
      <c r="A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</row>
    <row r="483">
      <c r="A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</row>
    <row r="484">
      <c r="A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</row>
    <row r="485">
      <c r="A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</row>
    <row r="486">
      <c r="A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</row>
    <row r="487">
      <c r="A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</row>
    <row r="488">
      <c r="A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</row>
    <row r="489">
      <c r="A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</row>
    <row r="490">
      <c r="A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</row>
    <row r="491">
      <c r="A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</row>
    <row r="492">
      <c r="A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</row>
    <row r="493">
      <c r="A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</row>
    <row r="494">
      <c r="A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</row>
    <row r="495">
      <c r="A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</row>
    <row r="496">
      <c r="A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</row>
    <row r="497">
      <c r="A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</row>
    <row r="498">
      <c r="A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</row>
    <row r="499">
      <c r="A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</row>
    <row r="500">
      <c r="A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</row>
    <row r="501">
      <c r="A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</row>
    <row r="502">
      <c r="A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</row>
    <row r="503">
      <c r="A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</row>
    <row r="504">
      <c r="A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</row>
    <row r="505">
      <c r="A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</row>
    <row r="506">
      <c r="A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</row>
    <row r="507">
      <c r="A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</row>
    <row r="508">
      <c r="A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</row>
    <row r="509">
      <c r="A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</row>
    <row r="510">
      <c r="A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</row>
    <row r="511">
      <c r="A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</row>
    <row r="512">
      <c r="A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</row>
    <row r="513">
      <c r="A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</row>
    <row r="514">
      <c r="A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</row>
    <row r="515">
      <c r="A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</row>
    <row r="516">
      <c r="A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</row>
    <row r="517">
      <c r="A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</row>
    <row r="518">
      <c r="A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</row>
    <row r="519">
      <c r="A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</row>
    <row r="520">
      <c r="A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</row>
    <row r="521">
      <c r="A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</row>
    <row r="522">
      <c r="A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</row>
    <row r="523">
      <c r="A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</row>
    <row r="524">
      <c r="A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</row>
    <row r="525">
      <c r="A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</row>
    <row r="526">
      <c r="A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</row>
    <row r="527">
      <c r="A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</row>
    <row r="528">
      <c r="A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</row>
    <row r="529">
      <c r="A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</row>
    <row r="530">
      <c r="A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</row>
    <row r="531">
      <c r="A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</row>
    <row r="532">
      <c r="A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</row>
    <row r="533">
      <c r="A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</row>
    <row r="534">
      <c r="A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</row>
    <row r="535">
      <c r="A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</row>
    <row r="536">
      <c r="A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</row>
    <row r="537">
      <c r="A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</row>
    <row r="538">
      <c r="A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</row>
    <row r="539">
      <c r="A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</row>
    <row r="540">
      <c r="A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</row>
    <row r="541">
      <c r="A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</row>
    <row r="542">
      <c r="A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</row>
    <row r="543">
      <c r="A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</row>
    <row r="544">
      <c r="A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</row>
    <row r="545">
      <c r="A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</row>
    <row r="546">
      <c r="A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</row>
    <row r="547">
      <c r="A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</row>
    <row r="548">
      <c r="A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</row>
    <row r="549">
      <c r="A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</row>
    <row r="550">
      <c r="A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</row>
    <row r="551">
      <c r="A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</row>
    <row r="552">
      <c r="A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</row>
    <row r="553">
      <c r="A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</row>
    <row r="554">
      <c r="A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</row>
    <row r="555">
      <c r="A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</row>
    <row r="556">
      <c r="A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</row>
    <row r="557">
      <c r="A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</row>
    <row r="558">
      <c r="A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</row>
    <row r="559">
      <c r="A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</row>
    <row r="560">
      <c r="A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</row>
    <row r="561">
      <c r="A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</row>
    <row r="562">
      <c r="A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</row>
    <row r="563">
      <c r="A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</row>
    <row r="564">
      <c r="A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</row>
    <row r="565">
      <c r="A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</row>
    <row r="566">
      <c r="A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</row>
    <row r="567">
      <c r="A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</row>
    <row r="568">
      <c r="A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</row>
    <row r="569">
      <c r="A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</row>
    <row r="570">
      <c r="A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</row>
    <row r="571">
      <c r="A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</row>
    <row r="572">
      <c r="A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</row>
    <row r="573">
      <c r="A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</row>
    <row r="574">
      <c r="A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</row>
    <row r="575">
      <c r="A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</row>
    <row r="576">
      <c r="A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</row>
    <row r="577">
      <c r="A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</row>
    <row r="578">
      <c r="A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</row>
    <row r="579">
      <c r="A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</row>
    <row r="580">
      <c r="A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</row>
    <row r="581">
      <c r="A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</row>
    <row r="582">
      <c r="A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</row>
    <row r="583">
      <c r="A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</row>
    <row r="584">
      <c r="A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</row>
    <row r="585">
      <c r="A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</row>
    <row r="586">
      <c r="A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</row>
    <row r="587">
      <c r="A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</row>
    <row r="588">
      <c r="A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</row>
    <row r="589">
      <c r="A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</row>
    <row r="590">
      <c r="A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</row>
    <row r="591">
      <c r="A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</row>
    <row r="592">
      <c r="A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</row>
    <row r="593">
      <c r="A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</row>
    <row r="594">
      <c r="A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</row>
    <row r="595">
      <c r="A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</row>
    <row r="596">
      <c r="A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</row>
    <row r="597">
      <c r="A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</row>
    <row r="598">
      <c r="A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</row>
    <row r="599">
      <c r="A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</row>
    <row r="600">
      <c r="A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</row>
    <row r="601">
      <c r="A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</row>
    <row r="602">
      <c r="A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</row>
    <row r="603">
      <c r="A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</row>
    <row r="604">
      <c r="A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</row>
    <row r="605">
      <c r="A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</row>
    <row r="606">
      <c r="A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</row>
    <row r="607">
      <c r="A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</row>
    <row r="608">
      <c r="A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</row>
    <row r="609">
      <c r="A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</row>
    <row r="610">
      <c r="A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</row>
    <row r="611">
      <c r="A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</row>
    <row r="612">
      <c r="A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</row>
    <row r="613">
      <c r="A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</row>
    <row r="614">
      <c r="A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</row>
    <row r="615">
      <c r="A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</row>
    <row r="616">
      <c r="A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</row>
    <row r="617">
      <c r="A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</row>
    <row r="618">
      <c r="A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</row>
    <row r="619">
      <c r="A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</row>
    <row r="620">
      <c r="A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</row>
    <row r="621">
      <c r="A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</row>
    <row r="622">
      <c r="A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</row>
    <row r="623">
      <c r="A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</row>
    <row r="624">
      <c r="A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</row>
    <row r="625">
      <c r="A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</row>
    <row r="626">
      <c r="A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</row>
    <row r="627">
      <c r="A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</row>
    <row r="628">
      <c r="A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</row>
    <row r="629">
      <c r="A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</row>
    <row r="630">
      <c r="A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</row>
    <row r="631">
      <c r="A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</row>
    <row r="632">
      <c r="A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</row>
    <row r="633">
      <c r="A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</row>
    <row r="634">
      <c r="A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</row>
    <row r="635">
      <c r="A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</row>
    <row r="636">
      <c r="A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</row>
    <row r="637">
      <c r="A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</row>
    <row r="638">
      <c r="A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</row>
    <row r="639">
      <c r="A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</row>
    <row r="640">
      <c r="A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</row>
    <row r="641">
      <c r="A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</row>
    <row r="642">
      <c r="A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</row>
    <row r="643">
      <c r="A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</row>
    <row r="644">
      <c r="A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</row>
    <row r="645">
      <c r="A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</row>
    <row r="646">
      <c r="A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</row>
    <row r="647">
      <c r="A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</row>
    <row r="648">
      <c r="A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</row>
    <row r="649">
      <c r="A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</row>
    <row r="650">
      <c r="A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</row>
    <row r="651">
      <c r="A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</row>
    <row r="652">
      <c r="A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</row>
    <row r="653">
      <c r="A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</row>
    <row r="654">
      <c r="A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</row>
    <row r="655">
      <c r="A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</row>
    <row r="656">
      <c r="A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</row>
    <row r="657">
      <c r="A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</row>
    <row r="658">
      <c r="A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</row>
    <row r="659">
      <c r="A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</row>
    <row r="660">
      <c r="A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</row>
    <row r="661">
      <c r="A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</row>
    <row r="662">
      <c r="A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</row>
    <row r="663">
      <c r="A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</row>
    <row r="664">
      <c r="A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</row>
    <row r="665">
      <c r="A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</row>
    <row r="666">
      <c r="A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</row>
    <row r="667">
      <c r="A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</row>
    <row r="668">
      <c r="A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</row>
    <row r="669">
      <c r="A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</row>
    <row r="670">
      <c r="A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</row>
    <row r="671">
      <c r="A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</row>
    <row r="672">
      <c r="A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</row>
    <row r="673">
      <c r="A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</row>
    <row r="674">
      <c r="A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</row>
    <row r="675">
      <c r="A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</row>
    <row r="676">
      <c r="A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</row>
    <row r="677">
      <c r="A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</row>
    <row r="678">
      <c r="A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</row>
    <row r="679">
      <c r="A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</row>
    <row r="680">
      <c r="A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</row>
    <row r="681">
      <c r="A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</row>
    <row r="682">
      <c r="A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</row>
    <row r="683">
      <c r="A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</row>
    <row r="684">
      <c r="A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</row>
    <row r="685">
      <c r="A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</row>
    <row r="686">
      <c r="A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</row>
    <row r="687">
      <c r="A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</row>
    <row r="688">
      <c r="A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</row>
    <row r="689">
      <c r="A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</row>
    <row r="690">
      <c r="A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</row>
    <row r="691">
      <c r="A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</row>
    <row r="692">
      <c r="A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</row>
    <row r="693">
      <c r="A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</row>
    <row r="694">
      <c r="A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</row>
    <row r="695">
      <c r="A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</row>
    <row r="696">
      <c r="A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</row>
    <row r="697">
      <c r="A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</row>
    <row r="698">
      <c r="A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</row>
    <row r="699">
      <c r="A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</row>
    <row r="700">
      <c r="A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</row>
    <row r="701">
      <c r="A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</row>
    <row r="702">
      <c r="A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</row>
    <row r="703">
      <c r="A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</row>
    <row r="704">
      <c r="A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</row>
    <row r="705">
      <c r="A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</row>
    <row r="706">
      <c r="A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</row>
    <row r="707">
      <c r="A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</row>
    <row r="708">
      <c r="A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</row>
    <row r="709">
      <c r="A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</row>
    <row r="710">
      <c r="A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</row>
    <row r="711">
      <c r="A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</row>
    <row r="712">
      <c r="A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</row>
    <row r="713">
      <c r="A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</row>
    <row r="714">
      <c r="A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</row>
    <row r="715">
      <c r="A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</row>
    <row r="716">
      <c r="A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</row>
    <row r="717">
      <c r="A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</row>
    <row r="718">
      <c r="A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</row>
    <row r="719">
      <c r="A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</row>
    <row r="720">
      <c r="A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</row>
    <row r="721">
      <c r="A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</row>
    <row r="722">
      <c r="A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</row>
    <row r="723">
      <c r="A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</row>
    <row r="724">
      <c r="A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</row>
    <row r="725">
      <c r="A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</row>
    <row r="726">
      <c r="A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</row>
    <row r="727">
      <c r="A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</row>
    <row r="728">
      <c r="A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</row>
    <row r="729">
      <c r="A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</row>
    <row r="730">
      <c r="A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</row>
    <row r="731">
      <c r="A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</row>
    <row r="732">
      <c r="A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</row>
    <row r="733">
      <c r="A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</row>
    <row r="734">
      <c r="A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</row>
    <row r="735">
      <c r="A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</row>
    <row r="736">
      <c r="A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</row>
    <row r="737">
      <c r="A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</row>
    <row r="738">
      <c r="A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</row>
    <row r="739">
      <c r="A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</row>
    <row r="740">
      <c r="A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</row>
    <row r="741">
      <c r="A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</row>
    <row r="742">
      <c r="A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</row>
    <row r="743">
      <c r="A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63"/>
    </row>
    <row r="744">
      <c r="A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63"/>
    </row>
    <row r="745">
      <c r="A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</row>
    <row r="746">
      <c r="A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63"/>
    </row>
    <row r="747">
      <c r="A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63"/>
    </row>
    <row r="748">
      <c r="A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</row>
    <row r="749">
      <c r="A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</row>
    <row r="750">
      <c r="A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63"/>
    </row>
    <row r="751">
      <c r="A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</row>
    <row r="752">
      <c r="A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63"/>
    </row>
    <row r="753">
      <c r="A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</row>
    <row r="754">
      <c r="A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</row>
    <row r="755">
      <c r="A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</row>
    <row r="756">
      <c r="A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</row>
    <row r="757">
      <c r="A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</row>
    <row r="758">
      <c r="A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</row>
    <row r="759">
      <c r="A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</row>
    <row r="760">
      <c r="A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63"/>
    </row>
    <row r="761">
      <c r="A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63"/>
    </row>
    <row r="762">
      <c r="A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</row>
    <row r="763">
      <c r="A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63"/>
    </row>
    <row r="764">
      <c r="A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</row>
    <row r="765">
      <c r="A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</row>
    <row r="766">
      <c r="A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</row>
    <row r="767">
      <c r="A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</row>
    <row r="768">
      <c r="A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63"/>
    </row>
    <row r="769">
      <c r="A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</row>
    <row r="770">
      <c r="A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</row>
    <row r="771">
      <c r="A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</row>
    <row r="772">
      <c r="A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</row>
    <row r="773">
      <c r="A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</row>
    <row r="774">
      <c r="A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</row>
    <row r="775">
      <c r="A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</row>
    <row r="776">
      <c r="A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</row>
    <row r="777">
      <c r="A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</row>
    <row r="778">
      <c r="A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</row>
    <row r="779">
      <c r="A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</row>
    <row r="780">
      <c r="A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63"/>
    </row>
    <row r="781">
      <c r="A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</row>
    <row r="782">
      <c r="A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</row>
    <row r="783">
      <c r="A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</row>
    <row r="784">
      <c r="A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</row>
    <row r="785">
      <c r="A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</row>
    <row r="786">
      <c r="A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</row>
    <row r="787">
      <c r="A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</row>
    <row r="788">
      <c r="A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</row>
    <row r="789">
      <c r="A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</row>
    <row r="790">
      <c r="A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</row>
    <row r="791">
      <c r="A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</row>
    <row r="792">
      <c r="A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</row>
    <row r="793">
      <c r="A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</row>
    <row r="794">
      <c r="A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63"/>
    </row>
    <row r="795">
      <c r="A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</row>
    <row r="796">
      <c r="A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</row>
    <row r="797">
      <c r="A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</row>
    <row r="798">
      <c r="A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</row>
    <row r="799">
      <c r="A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63"/>
    </row>
    <row r="800">
      <c r="A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</row>
    <row r="801">
      <c r="A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</row>
    <row r="802">
      <c r="A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</row>
    <row r="803">
      <c r="A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63"/>
    </row>
    <row r="804">
      <c r="A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63"/>
    </row>
    <row r="805">
      <c r="A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63"/>
    </row>
    <row r="806">
      <c r="A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</row>
    <row r="807">
      <c r="A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</row>
    <row r="808">
      <c r="A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63"/>
    </row>
    <row r="809">
      <c r="A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3"/>
      <c r="AG809" s="63"/>
    </row>
    <row r="810">
      <c r="A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3"/>
      <c r="AG810" s="63"/>
    </row>
    <row r="811">
      <c r="A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3"/>
      <c r="AG811" s="63"/>
    </row>
    <row r="812">
      <c r="A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3"/>
      <c r="AG812" s="63"/>
    </row>
    <row r="813">
      <c r="A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63"/>
    </row>
    <row r="814">
      <c r="A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63"/>
    </row>
    <row r="815">
      <c r="A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</row>
    <row r="816">
      <c r="A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63"/>
    </row>
    <row r="817">
      <c r="A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63"/>
    </row>
    <row r="818">
      <c r="A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</row>
    <row r="819">
      <c r="A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3"/>
      <c r="AG819" s="63"/>
    </row>
    <row r="820">
      <c r="A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</row>
    <row r="821">
      <c r="A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63"/>
    </row>
    <row r="822">
      <c r="A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63"/>
    </row>
    <row r="823">
      <c r="A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</row>
    <row r="824">
      <c r="A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</row>
    <row r="825">
      <c r="A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</row>
    <row r="826">
      <c r="A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3"/>
      <c r="AG826" s="63"/>
    </row>
    <row r="827">
      <c r="A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63"/>
    </row>
    <row r="828">
      <c r="A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</row>
    <row r="829">
      <c r="A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</row>
    <row r="830">
      <c r="A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</row>
    <row r="831">
      <c r="A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</row>
    <row r="832">
      <c r="A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</row>
    <row r="833">
      <c r="A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63"/>
    </row>
    <row r="834">
      <c r="A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</row>
    <row r="835">
      <c r="A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</row>
    <row r="836">
      <c r="A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</row>
    <row r="837">
      <c r="A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63"/>
    </row>
    <row r="838">
      <c r="A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</row>
    <row r="839">
      <c r="A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63"/>
    </row>
    <row r="840">
      <c r="A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</row>
    <row r="841">
      <c r="A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63"/>
    </row>
    <row r="842">
      <c r="A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63"/>
    </row>
    <row r="843">
      <c r="A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</row>
    <row r="844">
      <c r="A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</row>
    <row r="845">
      <c r="A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</row>
    <row r="846">
      <c r="A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63"/>
    </row>
    <row r="847">
      <c r="A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63"/>
    </row>
    <row r="848">
      <c r="A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</row>
    <row r="849">
      <c r="A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</row>
    <row r="850">
      <c r="A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</row>
    <row r="851">
      <c r="A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3"/>
      <c r="AG851" s="63"/>
    </row>
    <row r="852">
      <c r="A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63"/>
    </row>
    <row r="853">
      <c r="A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</row>
    <row r="854">
      <c r="A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63"/>
    </row>
    <row r="855">
      <c r="A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</row>
    <row r="856">
      <c r="A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63"/>
    </row>
    <row r="857">
      <c r="A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</row>
    <row r="858">
      <c r="A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</row>
    <row r="859">
      <c r="A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</row>
    <row r="860">
      <c r="A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</row>
    <row r="861">
      <c r="A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</row>
    <row r="862">
      <c r="A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63"/>
    </row>
    <row r="863">
      <c r="A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63"/>
    </row>
    <row r="864">
      <c r="A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</row>
    <row r="865">
      <c r="A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63"/>
    </row>
    <row r="866">
      <c r="A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63"/>
    </row>
    <row r="867">
      <c r="A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</row>
    <row r="868">
      <c r="A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3"/>
      <c r="AG868" s="63"/>
    </row>
    <row r="869">
      <c r="A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63"/>
    </row>
    <row r="870">
      <c r="A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63"/>
    </row>
    <row r="871">
      <c r="A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</row>
    <row r="872">
      <c r="A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63"/>
    </row>
    <row r="873">
      <c r="A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</row>
    <row r="874">
      <c r="A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63"/>
    </row>
    <row r="875">
      <c r="A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</row>
    <row r="876">
      <c r="A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</row>
    <row r="877">
      <c r="A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</row>
    <row r="878">
      <c r="A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</row>
    <row r="879">
      <c r="A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</row>
    <row r="880">
      <c r="A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</row>
    <row r="881">
      <c r="A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</row>
    <row r="882">
      <c r="A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</row>
    <row r="883">
      <c r="A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63"/>
    </row>
    <row r="884">
      <c r="A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</row>
    <row r="885">
      <c r="A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3"/>
      <c r="AG885" s="63"/>
    </row>
    <row r="886">
      <c r="A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63"/>
    </row>
    <row r="887">
      <c r="A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3"/>
      <c r="AG887" s="63"/>
    </row>
    <row r="888">
      <c r="A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3"/>
      <c r="AG888" s="63"/>
    </row>
    <row r="889">
      <c r="A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</row>
    <row r="890">
      <c r="A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</row>
    <row r="891">
      <c r="A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</row>
    <row r="892">
      <c r="A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63"/>
    </row>
    <row r="893">
      <c r="A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</row>
    <row r="894">
      <c r="A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</row>
    <row r="895">
      <c r="A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</row>
    <row r="896">
      <c r="A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</row>
    <row r="897">
      <c r="A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</row>
    <row r="898">
      <c r="A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63"/>
    </row>
    <row r="899">
      <c r="A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3"/>
      <c r="AG899" s="63"/>
    </row>
    <row r="900">
      <c r="A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63"/>
    </row>
    <row r="901">
      <c r="A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3"/>
      <c r="AG901" s="63"/>
    </row>
    <row r="902">
      <c r="A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3"/>
      <c r="AG902" s="63"/>
    </row>
    <row r="903">
      <c r="A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3"/>
      <c r="AG903" s="63"/>
    </row>
    <row r="904">
      <c r="A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3"/>
      <c r="AG904" s="63"/>
    </row>
    <row r="905">
      <c r="A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3"/>
      <c r="AG905" s="63"/>
    </row>
    <row r="906">
      <c r="A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3"/>
      <c r="AG906" s="63"/>
    </row>
    <row r="907">
      <c r="A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63"/>
    </row>
    <row r="908">
      <c r="A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3"/>
      <c r="AG908" s="63"/>
    </row>
    <row r="909">
      <c r="A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</row>
    <row r="910">
      <c r="A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3"/>
      <c r="AG910" s="63"/>
    </row>
    <row r="911">
      <c r="A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63"/>
    </row>
    <row r="912">
      <c r="A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</row>
    <row r="913">
      <c r="A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3"/>
      <c r="AG913" s="63"/>
    </row>
    <row r="914">
      <c r="A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</row>
    <row r="915">
      <c r="A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63"/>
    </row>
    <row r="916">
      <c r="A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63"/>
    </row>
    <row r="917">
      <c r="A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3"/>
      <c r="AG917" s="63"/>
    </row>
    <row r="918">
      <c r="A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3"/>
      <c r="AG918" s="63"/>
    </row>
    <row r="919">
      <c r="A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63"/>
    </row>
    <row r="920">
      <c r="A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3"/>
      <c r="AG920" s="63"/>
    </row>
    <row r="921">
      <c r="A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3"/>
      <c r="AG921" s="63"/>
    </row>
    <row r="922">
      <c r="A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</row>
    <row r="923">
      <c r="A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</row>
    <row r="924">
      <c r="A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</row>
    <row r="925">
      <c r="A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3"/>
      <c r="AG925" s="63"/>
    </row>
    <row r="926">
      <c r="A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</row>
    <row r="927">
      <c r="A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3"/>
      <c r="AG927" s="63"/>
    </row>
    <row r="928">
      <c r="A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63"/>
    </row>
    <row r="929">
      <c r="A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63"/>
    </row>
    <row r="930">
      <c r="A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</row>
    <row r="931">
      <c r="A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</row>
    <row r="932">
      <c r="A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  <c r="AG932" s="63"/>
    </row>
    <row r="933">
      <c r="A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3"/>
      <c r="AG933" s="63"/>
    </row>
    <row r="934">
      <c r="A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3"/>
      <c r="AG934" s="63"/>
    </row>
    <row r="935">
      <c r="A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3"/>
      <c r="AG935" s="63"/>
    </row>
    <row r="936">
      <c r="A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</row>
    <row r="937">
      <c r="A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  <c r="AG937" s="63"/>
    </row>
    <row r="938">
      <c r="A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  <c r="AG938" s="63"/>
    </row>
    <row r="939">
      <c r="A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63"/>
    </row>
    <row r="940">
      <c r="A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3"/>
      <c r="AG940" s="63"/>
    </row>
    <row r="941">
      <c r="A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3"/>
      <c r="AG941" s="63"/>
    </row>
    <row r="942">
      <c r="A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3"/>
      <c r="AG942" s="63"/>
    </row>
    <row r="943">
      <c r="A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3"/>
      <c r="AG943" s="63"/>
    </row>
    <row r="944">
      <c r="A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  <c r="AF944" s="63"/>
      <c r="AG944" s="63"/>
    </row>
    <row r="945">
      <c r="A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  <c r="AF945" s="63"/>
      <c r="AG945" s="63"/>
    </row>
    <row r="946">
      <c r="A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  <c r="AF946" s="63"/>
      <c r="AG946" s="63"/>
    </row>
    <row r="947">
      <c r="A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  <c r="AF947" s="63"/>
      <c r="AG947" s="63"/>
    </row>
    <row r="948">
      <c r="A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  <c r="AG948" s="63"/>
    </row>
    <row r="949">
      <c r="A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  <c r="AF949" s="63"/>
      <c r="AG949" s="63"/>
    </row>
    <row r="950">
      <c r="A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  <c r="AF950" s="63"/>
      <c r="AG950" s="63"/>
    </row>
    <row r="951">
      <c r="A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  <c r="AF951" s="63"/>
      <c r="AG951" s="63"/>
    </row>
    <row r="952">
      <c r="A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  <c r="AF952" s="63"/>
      <c r="AG952" s="63"/>
    </row>
    <row r="953">
      <c r="A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  <c r="AF953" s="63"/>
      <c r="AG953" s="63"/>
    </row>
    <row r="954">
      <c r="A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  <c r="AF954" s="63"/>
      <c r="AG954" s="63"/>
    </row>
    <row r="955">
      <c r="A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  <c r="AF955" s="63"/>
      <c r="AG955" s="63"/>
    </row>
    <row r="956">
      <c r="A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  <c r="AF956" s="63"/>
      <c r="AG956" s="63"/>
    </row>
    <row r="957">
      <c r="A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/>
      <c r="AF957" s="63"/>
      <c r="AG957" s="63"/>
    </row>
    <row r="958">
      <c r="A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/>
      <c r="AF958" s="63"/>
      <c r="AG958" s="63"/>
    </row>
    <row r="959">
      <c r="A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/>
      <c r="AF959" s="63"/>
      <c r="AG959" s="63"/>
    </row>
    <row r="960">
      <c r="A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  <c r="AF960" s="63"/>
      <c r="AG960" s="63"/>
    </row>
    <row r="961">
      <c r="A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/>
      <c r="AF961" s="63"/>
      <c r="AG961" s="63"/>
    </row>
    <row r="962">
      <c r="A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/>
      <c r="AF962" s="63"/>
      <c r="AG962" s="63"/>
    </row>
    <row r="963">
      <c r="A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/>
      <c r="AF963" s="63"/>
      <c r="AG963" s="63"/>
    </row>
    <row r="964">
      <c r="A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3"/>
      <c r="AG964" s="63"/>
    </row>
    <row r="965">
      <c r="A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  <c r="AF965" s="63"/>
      <c r="AG965" s="63"/>
    </row>
    <row r="966">
      <c r="A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  <c r="AF966" s="63"/>
      <c r="AG966" s="63"/>
    </row>
    <row r="967">
      <c r="A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  <c r="AF967" s="63"/>
      <c r="AG967" s="63"/>
    </row>
    <row r="968">
      <c r="A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  <c r="AF968" s="63"/>
      <c r="AG968" s="63"/>
    </row>
    <row r="969">
      <c r="A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  <c r="AF969" s="63"/>
      <c r="AG969" s="63"/>
    </row>
    <row r="970">
      <c r="A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/>
      <c r="AF970" s="63"/>
      <c r="AG970" s="63"/>
    </row>
    <row r="971">
      <c r="A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/>
      <c r="AF971" s="63"/>
      <c r="AG971" s="63"/>
    </row>
    <row r="972">
      <c r="A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  <c r="AC972" s="63"/>
      <c r="AD972" s="63"/>
      <c r="AE972" s="63"/>
      <c r="AF972" s="63"/>
      <c r="AG972" s="63"/>
    </row>
    <row r="973">
      <c r="A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  <c r="AC973" s="63"/>
      <c r="AD973" s="63"/>
      <c r="AE973" s="63"/>
      <c r="AF973" s="63"/>
      <c r="AG973" s="63"/>
    </row>
    <row r="974">
      <c r="A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  <c r="AC974" s="63"/>
      <c r="AD974" s="63"/>
      <c r="AE974" s="63"/>
      <c r="AF974" s="63"/>
      <c r="AG974" s="63"/>
    </row>
    <row r="975">
      <c r="A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  <c r="AC975" s="63"/>
      <c r="AD975" s="63"/>
      <c r="AE975" s="63"/>
      <c r="AF975" s="63"/>
      <c r="AG975" s="63"/>
    </row>
    <row r="976">
      <c r="A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  <c r="AC976" s="63"/>
      <c r="AD976" s="63"/>
      <c r="AE976" s="63"/>
      <c r="AF976" s="63"/>
      <c r="AG976" s="63"/>
    </row>
    <row r="977">
      <c r="A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  <c r="AC977" s="63"/>
      <c r="AD977" s="63"/>
      <c r="AE977" s="63"/>
      <c r="AF977" s="63"/>
      <c r="AG977" s="63"/>
    </row>
    <row r="978">
      <c r="A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63"/>
      <c r="AF978" s="63"/>
      <c r="AG978" s="63"/>
    </row>
    <row r="979">
      <c r="A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63"/>
      <c r="AF979" s="63"/>
      <c r="AG979" s="63"/>
    </row>
    <row r="980">
      <c r="A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E980" s="63"/>
      <c r="AF980" s="63"/>
      <c r="AG980" s="63"/>
    </row>
    <row r="981">
      <c r="A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  <c r="AB981" s="63"/>
      <c r="AC981" s="63"/>
      <c r="AD981" s="63"/>
      <c r="AE981" s="63"/>
      <c r="AF981" s="63"/>
      <c r="AG981" s="63"/>
    </row>
    <row r="982">
      <c r="A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  <c r="AA982" s="63"/>
      <c r="AB982" s="63"/>
      <c r="AC982" s="63"/>
      <c r="AD982" s="63"/>
      <c r="AE982" s="63"/>
      <c r="AF982" s="63"/>
      <c r="AG982" s="63"/>
    </row>
    <row r="983">
      <c r="A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  <c r="AA983" s="63"/>
      <c r="AB983" s="63"/>
      <c r="AC983" s="63"/>
      <c r="AD983" s="63"/>
      <c r="AE983" s="63"/>
      <c r="AF983" s="63"/>
      <c r="AG983" s="63"/>
    </row>
    <row r="984">
      <c r="A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  <c r="AA984" s="63"/>
      <c r="AB984" s="63"/>
      <c r="AC984" s="63"/>
      <c r="AD984" s="63"/>
      <c r="AE984" s="63"/>
      <c r="AF984" s="63"/>
      <c r="AG984" s="63"/>
    </row>
    <row r="985">
      <c r="A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  <c r="AA985" s="63"/>
      <c r="AB985" s="63"/>
      <c r="AC985" s="63"/>
      <c r="AD985" s="63"/>
      <c r="AE985" s="63"/>
      <c r="AF985" s="63"/>
      <c r="AG985" s="63"/>
    </row>
    <row r="986">
      <c r="A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  <c r="AA986" s="63"/>
      <c r="AB986" s="63"/>
      <c r="AC986" s="63"/>
      <c r="AD986" s="63"/>
      <c r="AE986" s="63"/>
      <c r="AF986" s="63"/>
      <c r="AG986" s="63"/>
    </row>
    <row r="987">
      <c r="A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  <c r="AA987" s="63"/>
      <c r="AB987" s="63"/>
      <c r="AC987" s="63"/>
      <c r="AD987" s="63"/>
      <c r="AE987" s="63"/>
      <c r="AF987" s="63"/>
      <c r="AG987" s="63"/>
    </row>
    <row r="988">
      <c r="A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  <c r="AA988" s="63"/>
      <c r="AB988" s="63"/>
      <c r="AC988" s="63"/>
      <c r="AD988" s="63"/>
      <c r="AE988" s="63"/>
      <c r="AF988" s="63"/>
      <c r="AG988" s="63"/>
    </row>
    <row r="989">
      <c r="A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  <c r="AA989" s="63"/>
      <c r="AB989" s="63"/>
      <c r="AC989" s="63"/>
      <c r="AD989" s="63"/>
      <c r="AE989" s="63"/>
      <c r="AF989" s="63"/>
      <c r="AG989" s="63"/>
    </row>
    <row r="990">
      <c r="A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  <c r="AA990" s="63"/>
      <c r="AB990" s="63"/>
      <c r="AC990" s="63"/>
      <c r="AD990" s="63"/>
      <c r="AE990" s="63"/>
      <c r="AF990" s="63"/>
      <c r="AG990" s="63"/>
    </row>
    <row r="991">
      <c r="A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  <c r="AA991" s="63"/>
      <c r="AB991" s="63"/>
      <c r="AC991" s="63"/>
      <c r="AD991" s="63"/>
      <c r="AE991" s="63"/>
      <c r="AF991" s="63"/>
      <c r="AG991" s="63"/>
    </row>
    <row r="992">
      <c r="A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  <c r="AA992" s="63"/>
      <c r="AB992" s="63"/>
      <c r="AC992" s="63"/>
      <c r="AD992" s="63"/>
      <c r="AE992" s="63"/>
      <c r="AF992" s="63"/>
      <c r="AG992" s="63"/>
    </row>
    <row r="993">
      <c r="A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  <c r="AA993" s="63"/>
      <c r="AB993" s="63"/>
      <c r="AC993" s="63"/>
      <c r="AD993" s="63"/>
      <c r="AE993" s="63"/>
      <c r="AF993" s="63"/>
      <c r="AG993" s="63"/>
    </row>
    <row r="994">
      <c r="A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  <c r="AA994" s="63"/>
      <c r="AB994" s="63"/>
      <c r="AC994" s="63"/>
      <c r="AD994" s="63"/>
      <c r="AE994" s="63"/>
      <c r="AF994" s="63"/>
      <c r="AG994" s="63"/>
    </row>
    <row r="995">
      <c r="A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  <c r="AA995" s="63"/>
      <c r="AB995" s="63"/>
      <c r="AC995" s="63"/>
      <c r="AD995" s="63"/>
      <c r="AE995" s="63"/>
      <c r="AF995" s="63"/>
      <c r="AG995" s="63"/>
    </row>
    <row r="996">
      <c r="A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  <c r="AA996" s="63"/>
      <c r="AB996" s="63"/>
      <c r="AC996" s="63"/>
      <c r="AD996" s="63"/>
      <c r="AE996" s="63"/>
      <c r="AF996" s="63"/>
      <c r="AG996" s="63"/>
    </row>
    <row r="997">
      <c r="A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  <c r="AA997" s="63"/>
      <c r="AB997" s="63"/>
      <c r="AC997" s="63"/>
      <c r="AD997" s="63"/>
      <c r="AE997" s="63"/>
      <c r="AF997" s="63"/>
      <c r="AG997" s="63"/>
    </row>
    <row r="998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  <c r="AA998" s="63"/>
      <c r="AB998" s="63"/>
      <c r="AC998" s="63"/>
      <c r="AD998" s="63"/>
      <c r="AE998" s="63"/>
      <c r="AF998" s="63"/>
      <c r="AG998" s="63"/>
    </row>
  </sheetData>
  <mergeCells count="13">
    <mergeCell ref="K1:L1"/>
    <mergeCell ref="M1:M2"/>
    <mergeCell ref="N1:O1"/>
    <mergeCell ref="P1:P2"/>
    <mergeCell ref="Q1:Q2"/>
    <mergeCell ref="R1:R2"/>
    <mergeCell ref="A1:A2"/>
    <mergeCell ref="B1:B2"/>
    <mergeCell ref="D1:D2"/>
    <mergeCell ref="E1:E2"/>
    <mergeCell ref="G1:G2"/>
    <mergeCell ref="H1:I1"/>
    <mergeCell ref="J1:J2"/>
  </mergeCells>
  <printOptions/>
  <pageMargins bottom="0.14087847452803343" footer="0.0" header="0.0" left="0.984027777777778" right="0.984027777777778" top="0.747916666666667"/>
  <pageSetup fitToHeight="0" paperSize="9" orientation="landscape"/>
  <drawing r:id="rId1"/>
  <tableParts count="1">
    <tablePart r:id="rId3"/>
  </tableParts>
</worksheet>
</file>